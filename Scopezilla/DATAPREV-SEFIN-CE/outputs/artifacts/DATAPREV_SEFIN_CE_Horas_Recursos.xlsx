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filho/scoping-projects/DATAPREV-SEFIN-CE/"/>
    </mc:Choice>
  </mc:AlternateContent>
  <xr:revisionPtr revIDLastSave="0" documentId="13_ncr:1_{5B255C23-0C5F-D74A-A453-68FAA3F9204A}" xr6:coauthVersionLast="47" xr6:coauthVersionMax="47" xr10:uidLastSave="{00000000-0000-0000-0000-000000000000}"/>
  <bookViews>
    <workbookView xWindow="-4200" yWindow="-20980" windowWidth="38400" windowHeight="20980" activeTab="2" xr2:uid="{00000000-000D-0000-FFFF-FFFF00000000}"/>
  </bookViews>
  <sheets>
    <sheet name="Horas por Semana" sheetId="1" r:id="rId1"/>
    <sheet name="Resumo por Fase" sheetId="2" r:id="rId2"/>
    <sheet name="Planilha1" sheetId="5" r:id="rId3"/>
    <sheet name="Resumo por Recurso" sheetId="3" r:id="rId4"/>
    <sheet name="Investimento Tota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5" l="1"/>
  <c r="D39" i="5" s="1"/>
  <c r="E39" i="5" s="1"/>
  <c r="B38" i="5"/>
  <c r="D38" i="5" s="1"/>
  <c r="E38" i="5" s="1"/>
  <c r="B37" i="5"/>
  <c r="D37" i="5" s="1"/>
  <c r="E37" i="5" s="1"/>
  <c r="B36" i="5"/>
  <c r="D36" i="5" s="1"/>
  <c r="E36" i="5" s="1"/>
  <c r="B35" i="5"/>
  <c r="B34" i="5"/>
  <c r="D34" i="5" s="1"/>
  <c r="E34" i="5" s="1"/>
  <c r="B33" i="5"/>
  <c r="D33" i="5" s="1"/>
  <c r="B24" i="5"/>
  <c r="D24" i="5" s="1"/>
  <c r="E24" i="5" s="1"/>
  <c r="B23" i="5"/>
  <c r="B22" i="5"/>
  <c r="D22" i="5" s="1"/>
  <c r="E22" i="5" s="1"/>
  <c r="B21" i="5"/>
  <c r="D21" i="5" s="1"/>
  <c r="E21" i="5" s="1"/>
  <c r="B20" i="5"/>
  <c r="D20" i="5" s="1"/>
  <c r="E20" i="5" s="1"/>
  <c r="B19" i="5"/>
  <c r="D19" i="5" s="1"/>
  <c r="E19" i="5" s="1"/>
  <c r="B18" i="5"/>
  <c r="B4" i="5"/>
  <c r="D4" i="5" s="1"/>
  <c r="E4" i="5" s="1"/>
  <c r="B5" i="5"/>
  <c r="D5" i="5" s="1"/>
  <c r="E5" i="5" s="1"/>
  <c r="B6" i="5"/>
  <c r="D6" i="5" s="1"/>
  <c r="E6" i="5" s="1"/>
  <c r="B7" i="5"/>
  <c r="D7" i="5" s="1"/>
  <c r="E7" i="5" s="1"/>
  <c r="B8" i="5"/>
  <c r="D8" i="5" s="1"/>
  <c r="E8" i="5" s="1"/>
  <c r="B10" i="5"/>
  <c r="D10" i="5" s="1"/>
  <c r="E10" i="5" s="1"/>
  <c r="B9" i="5"/>
  <c r="D9" i="5" s="1"/>
  <c r="E9" i="5" s="1"/>
  <c r="B40" i="5" l="1"/>
  <c r="B43" i="5"/>
  <c r="E33" i="5"/>
  <c r="D35" i="5"/>
  <c r="E35" i="5" s="1"/>
  <c r="B25" i="5"/>
  <c r="B28" i="5" s="1"/>
  <c r="D23" i="5"/>
  <c r="E23" i="5" s="1"/>
  <c r="D18" i="5"/>
  <c r="B11" i="5"/>
  <c r="B14" i="5" s="1"/>
  <c r="E11" i="5"/>
  <c r="D11" i="5"/>
  <c r="D40" i="5" l="1"/>
  <c r="E40" i="5"/>
  <c r="D25" i="5"/>
  <c r="E18" i="5"/>
  <c r="E25" i="5" s="1"/>
</calcChain>
</file>

<file path=xl/sharedStrings.xml><?xml version="1.0" encoding="utf-8"?>
<sst xmlns="http://schemas.openxmlformats.org/spreadsheetml/2006/main" count="394" uniqueCount="100">
  <si>
    <t>DATAPREV-SEFIN-CE v2.0 - HORAS POR SEMANA (ESCOPO BASE - SEM ADD-ONs)</t>
  </si>
  <si>
    <t>Semana</t>
  </si>
  <si>
    <t>Fase</t>
  </si>
  <si>
    <t>Recurso</t>
  </si>
  <si>
    <t>Papel</t>
  </si>
  <si>
    <t>Horas/Semana</t>
  </si>
  <si>
    <t>Taxa R$/Hora</t>
  </si>
  <si>
    <t>Custo Semana (R$)</t>
  </si>
  <si>
    <t>Custo Acumulado (R$)</t>
  </si>
  <si>
    <t>% Projeto</t>
  </si>
  <si>
    <t>Phase 0 - Discovery Resolution</t>
  </si>
  <si>
    <t>R01</t>
  </si>
  <si>
    <t>Technical Architect</t>
  </si>
  <si>
    <t>R05</t>
  </si>
  <si>
    <t>Technical Architect (Phase 0)</t>
  </si>
  <si>
    <t>R06</t>
  </si>
  <si>
    <t>Project Manager</t>
  </si>
  <si>
    <t>Phase 1 - Foundation &amp; ORG Setup</t>
  </si>
  <si>
    <t>R02</t>
  </si>
  <si>
    <t>Technical Consultant</t>
  </si>
  <si>
    <t>R03</t>
  </si>
  <si>
    <t>Technical Consultant (Security)</t>
  </si>
  <si>
    <t>Phase 2 - Einstein Bot + API Integration</t>
  </si>
  <si>
    <t>Phase 3 - UX Research &amp; Refinement</t>
  </si>
  <si>
    <t>R04</t>
  </si>
  <si>
    <t>Experience Architect</t>
  </si>
  <si>
    <t>TOTAL</t>
  </si>
  <si>
    <t>RESUMO POR FASE - ESCOPO BASE</t>
  </si>
  <si>
    <t>Descrição</t>
  </si>
  <si>
    <t>Semanas</t>
  </si>
  <si>
    <t>Total Horas</t>
  </si>
  <si>
    <t>Custo (R$)</t>
  </si>
  <si>
    <t>% Total</t>
  </si>
  <si>
    <t>Phase 0</t>
  </si>
  <si>
    <t>Discovery Resolution</t>
  </si>
  <si>
    <t>Phase 1</t>
  </si>
  <si>
    <t>Foundation &amp; ORG Setup</t>
  </si>
  <si>
    <t>Phase 2</t>
  </si>
  <si>
    <t>Einstein Bot + API Integration</t>
  </si>
  <si>
    <t>Phase 3</t>
  </si>
  <si>
    <t>UX Research &amp; Refinement</t>
  </si>
  <si>
    <t>RESUMO POR RECURSO - ESCOPO BASE</t>
  </si>
  <si>
    <t>ID</t>
  </si>
  <si>
    <t>Fases Ativas</t>
  </si>
  <si>
    <t>Custo Total (R$)</t>
  </si>
  <si>
    <t>Phase 0, Phase 1, Phase 2, Phase 3</t>
  </si>
  <si>
    <t>Phase 1, Phase 2</t>
  </si>
  <si>
    <t>INVESTIMENTO TOTAL - ESCOPO BASE</t>
  </si>
  <si>
    <t>Projeto</t>
  </si>
  <si>
    <t>DATAPREV-SEFIN-CE v2.0</t>
  </si>
  <si>
    <t>Escopo</t>
  </si>
  <si>
    <t>Service Cloud + Einstein Bot + WhatsApp (ESCOPO BASE - sem ADD-ONs)</t>
  </si>
  <si>
    <t>Timeline</t>
  </si>
  <si>
    <t>20 semanas (cenário médio)</t>
  </si>
  <si>
    <t>2,045 horas</t>
  </si>
  <si>
    <t>Taxa Architect (R$/hora)</t>
  </si>
  <si>
    <t>R$ 879.07</t>
  </si>
  <si>
    <t>Taxa Developer (R$/hora)</t>
  </si>
  <si>
    <t>R$ 715.66</t>
  </si>
  <si>
    <t>INVESTIMENTO TOTAL</t>
  </si>
  <si>
    <t>R$ 1,673,506.55</t>
  </si>
  <si>
    <t>ROM Referência Low</t>
  </si>
  <si>
    <t>R$ 1.583.232,00</t>
  </si>
  <si>
    <t>ROM Referência High</t>
  </si>
  <si>
    <t>R$ 4.231.269,00</t>
  </si>
  <si>
    <t>Investimento Calculado</t>
  </si>
  <si>
    <t>% do ROM High</t>
  </si>
  <si>
    <t>39.6%</t>
  </si>
  <si>
    <t>Observações</t>
  </si>
  <si>
    <t>Investimento calculado baseado em horas estimadas por fase</t>
  </si>
  <si>
    <t>ROM considera riscos, complexidade e margem de contingência</t>
  </si>
  <si>
    <t>ADD-ONs E07 (KB) e E08 (MC) não incluídos neste cálculo</t>
  </si>
  <si>
    <t>Licenças Salesforce não incluídas (cliente contrata diretamente)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</si>
  <si>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</si>
  <si>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</si>
  <si>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</si>
  <si>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</si>
  <si>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</si>
  <si>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</si>
  <si>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</si>
  <si>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</si>
  <si>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</si>
  <si>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</si>
  <si>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</si>
  <si>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</si>
  <si>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</si>
  <si>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ROLE</t>
  </si>
  <si>
    <t>HORAS</t>
  </si>
  <si>
    <t>RATE</t>
  </si>
  <si>
    <t>VALOR</t>
  </si>
  <si>
    <t>VALOR c/ Imp</t>
  </si>
  <si>
    <t>Discovery</t>
  </si>
  <si>
    <t>Solution Architect</t>
  </si>
  <si>
    <t>Solution Consultant</t>
  </si>
  <si>
    <t>Quality Assurance Consultant</t>
  </si>
  <si>
    <t>Setup Org</t>
  </si>
  <si>
    <t>UAT</t>
  </si>
  <si>
    <t>Scale</t>
  </si>
  <si>
    <t>Sprint 1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</si>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</sst>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3" formatCode="_-* #,##0.00_-;\-* #,##0.00_-;_-* &quot;-&quot;??_-;_-@_-"/>
    <numFmt numFmtId="164" formatCode="\R\$\ 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b/>
      <sz val="12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176D3"/>
        <bgColor rgb="FF0176D3"/>
      </patternFill>
    </fill>
    <fill>
      <patternFill patternType="solid">
        <fgColor rgb="FFFF9E2C"/>
        <bgColor rgb="FFFF9E2C"/>
      </patternFill>
    </fill>
    <fill>
      <patternFill patternType="solid">
        <fgColor rgb="FF04844B"/>
        <bgColor rgb="FF04844B"/>
      </patternFill>
    </fill>
    <fill>
      <patternFill patternType="solid">
        <fgColor rgb="FF9370DB"/>
        <bgColor rgb="FF9370D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2" fillId="4" borderId="0" xfId="0" applyFont="1" applyFill="1"/>
    <xf numFmtId="0" fontId="2" fillId="2" borderId="0" xfId="0" applyFont="1" applyFill="1"/>
    <xf numFmtId="0" fontId="2" fillId="5" borderId="0" xfId="0" applyFont="1" applyFill="1"/>
    <xf numFmtId="0" fontId="3" fillId="0" borderId="0" xfId="0" applyFont="1"/>
    <xf numFmtId="164" fontId="3" fillId="0" borderId="0" xfId="0" applyNumberFormat="1" applyFont="1"/>
    <xf numFmtId="0" fontId="2" fillId="2" borderId="0" xfId="0" applyFont="1" applyFill="1" applyAlignment="1">
      <alignment horizont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/>
    <xf numFmtId="0" fontId="0" fillId="0" borderId="0" xfId="0"/>
    <xf numFmtId="8" fontId="0" fillId="0" borderId="0" xfId="0" applyNumberFormat="1"/>
    <xf numFmtId="8" fontId="8" fillId="0" borderId="0" xfId="0" applyNumberFormat="1" applyFont="1"/>
    <xf numFmtId="0" fontId="8" fillId="0" borderId="0" xfId="0" applyFont="1"/>
    <xf numFmtId="8" fontId="9" fillId="0" borderId="0" xfId="0" applyNumberFormat="1" applyFont="1"/>
    <xf numFmtId="43" fontId="9" fillId="0" borderId="0" xfId="1" applyFont="1"/>
    <xf numFmtId="9" fontId="0" fillId="0" borderId="0" xfId="2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ont="1"/>
    <xf numFmtId="8" fontId="12" fillId="0" borderId="0" xfId="0" applyNumberFormat="1" applyFont="1"/>
    <xf numFmtId="8" fontId="11" fillId="0" borderId="0" xfId="0" applyNumberFormat="1" applyFont="1"/>
    <xf numFmtId="0" fontId="12" fillId="0" borderId="0" xfId="0" applyFont="1"/>
    <xf numFmtId="43" fontId="10" fillId="0" borderId="0" xfId="1" applyFont="1"/>
    <xf numFmtId="8" fontId="10" fillId="0" borderId="0" xfId="0" applyNumberFormat="1" applyFont="1"/>
    <xf numFmtId="9" fontId="11" fillId="0" borderId="0" xfId="2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workbookViewId="0">
      <selection activeCell="E60" sqref="E29:E60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3" width="10" customWidth="1"/>
    <col min="4" max="4" width="35" customWidth="1"/>
    <col min="5" max="6" width="15" customWidth="1"/>
    <col min="7" max="7" width="18" customWidth="1"/>
    <col min="8" max="8" width="20" customWidth="1"/>
    <col min="9" max="9" width="12" customWidth="1"/>
  </cols>
  <sheetData>
    <row r="1" spans="1:9" ht="19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3" spans="1: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">
      <c r="A4">
        <v>1</v>
      </c>
      <c r="B4" s="2" t="s">
        <v>10</v>
      </c>
      <c r="C4" t="s">
        <v>11</v>
      </c>
      <c r="D4" t="s">
        <v>12</v>
      </c>
      <c r="E4">
        <v>20</v>
      </c>
      <c r="F4" s="3">
        <v>879.07</v>
      </c>
      <c r="G4" s="3">
        <v>17581.400000000001</v>
      </c>
      <c r="H4" s="3">
        <v>17581.400000000001</v>
      </c>
      <c r="I4" s="4">
        <v>4.1551128042201999E-3</v>
      </c>
    </row>
    <row r="5" spans="1:9" x14ac:dyDescent="0.2">
      <c r="A5">
        <v>1</v>
      </c>
      <c r="B5" s="2" t="s">
        <v>10</v>
      </c>
      <c r="C5" t="s">
        <v>13</v>
      </c>
      <c r="D5" t="s">
        <v>14</v>
      </c>
      <c r="E5">
        <v>40</v>
      </c>
      <c r="F5" s="3">
        <v>879.07</v>
      </c>
      <c r="G5" s="3">
        <v>35162.800000000003</v>
      </c>
      <c r="H5" s="3">
        <v>52744.2</v>
      </c>
      <c r="I5" s="4">
        <v>1.24653384126606E-2</v>
      </c>
    </row>
    <row r="6" spans="1:9" x14ac:dyDescent="0.2">
      <c r="A6">
        <v>1</v>
      </c>
      <c r="B6" s="2" t="s">
        <v>10</v>
      </c>
      <c r="C6" t="s">
        <v>15</v>
      </c>
      <c r="D6" t="s">
        <v>16</v>
      </c>
      <c r="E6">
        <v>30</v>
      </c>
      <c r="F6" s="3">
        <v>879.07</v>
      </c>
      <c r="G6" s="3">
        <v>26372.1</v>
      </c>
      <c r="H6" s="3">
        <v>79116.3</v>
      </c>
      <c r="I6" s="4">
        <v>1.8698007618990899E-2</v>
      </c>
    </row>
    <row r="7" spans="1:9" x14ac:dyDescent="0.2">
      <c r="A7">
        <v>2</v>
      </c>
      <c r="B7" s="2" t="s">
        <v>10</v>
      </c>
      <c r="C7" t="s">
        <v>11</v>
      </c>
      <c r="D7" t="s">
        <v>12</v>
      </c>
      <c r="E7">
        <v>20</v>
      </c>
      <c r="F7" s="3">
        <v>879.07</v>
      </c>
      <c r="G7" s="3">
        <v>17581.400000000001</v>
      </c>
      <c r="H7" s="3">
        <v>96697.700000000012</v>
      </c>
      <c r="I7" s="4">
        <v>2.2853120423211099E-2</v>
      </c>
    </row>
    <row r="8" spans="1:9" x14ac:dyDescent="0.2">
      <c r="A8">
        <v>2</v>
      </c>
      <c r="B8" s="2" t="s">
        <v>10</v>
      </c>
      <c r="C8" t="s">
        <v>13</v>
      </c>
      <c r="D8" t="s">
        <v>14</v>
      </c>
      <c r="E8">
        <v>40</v>
      </c>
      <c r="F8" s="3">
        <v>879.07</v>
      </c>
      <c r="G8" s="3">
        <v>35162.800000000003</v>
      </c>
      <c r="H8" s="3">
        <v>131860.5</v>
      </c>
      <c r="I8" s="4">
        <v>3.1163346031651499E-2</v>
      </c>
    </row>
    <row r="9" spans="1:9" x14ac:dyDescent="0.2">
      <c r="A9">
        <v>2</v>
      </c>
      <c r="B9" s="2" t="s">
        <v>10</v>
      </c>
      <c r="C9" t="s">
        <v>15</v>
      </c>
      <c r="D9" t="s">
        <v>16</v>
      </c>
      <c r="E9">
        <v>30</v>
      </c>
      <c r="F9" s="3">
        <v>879.07</v>
      </c>
      <c r="G9" s="3">
        <v>26372.1</v>
      </c>
      <c r="H9" s="3">
        <v>158232.6</v>
      </c>
      <c r="I9" s="4">
        <v>3.7396015237981799E-2</v>
      </c>
    </row>
    <row r="10" spans="1:9" x14ac:dyDescent="0.2">
      <c r="A10">
        <v>3</v>
      </c>
      <c r="B10" s="2" t="s">
        <v>10</v>
      </c>
      <c r="C10" t="s">
        <v>11</v>
      </c>
      <c r="D10" t="s">
        <v>12</v>
      </c>
      <c r="E10">
        <v>20</v>
      </c>
      <c r="F10" s="3">
        <v>879.07</v>
      </c>
      <c r="G10" s="3">
        <v>17581.400000000001</v>
      </c>
      <c r="H10" s="3">
        <v>175814</v>
      </c>
      <c r="I10" s="4">
        <v>4.1551128042201999E-2</v>
      </c>
    </row>
    <row r="11" spans="1:9" x14ac:dyDescent="0.2">
      <c r="A11">
        <v>3</v>
      </c>
      <c r="B11" s="2" t="s">
        <v>10</v>
      </c>
      <c r="C11" t="s">
        <v>13</v>
      </c>
      <c r="D11" t="s">
        <v>14</v>
      </c>
      <c r="E11">
        <v>40</v>
      </c>
      <c r="F11" s="3">
        <v>879.07</v>
      </c>
      <c r="G11" s="3">
        <v>35162.800000000003</v>
      </c>
      <c r="H11" s="3">
        <v>210976.8</v>
      </c>
      <c r="I11" s="4">
        <v>4.9861353650642391E-2</v>
      </c>
    </row>
    <row r="12" spans="1:9" x14ac:dyDescent="0.2">
      <c r="A12">
        <v>3</v>
      </c>
      <c r="B12" s="2" t="s">
        <v>10</v>
      </c>
      <c r="C12" t="s">
        <v>15</v>
      </c>
      <c r="D12" t="s">
        <v>16</v>
      </c>
      <c r="E12">
        <v>30</v>
      </c>
      <c r="F12" s="3">
        <v>879.07</v>
      </c>
      <c r="G12" s="3">
        <v>26372.1</v>
      </c>
      <c r="H12" s="3">
        <v>237348.9</v>
      </c>
      <c r="I12" s="4">
        <v>5.6094022856972688E-2</v>
      </c>
    </row>
    <row r="13" spans="1:9" x14ac:dyDescent="0.2">
      <c r="A13">
        <v>4</v>
      </c>
      <c r="B13" s="5" t="s">
        <v>17</v>
      </c>
      <c r="C13" t="s">
        <v>11</v>
      </c>
      <c r="D13" t="s">
        <v>12</v>
      </c>
      <c r="E13">
        <v>40</v>
      </c>
      <c r="F13" s="3">
        <v>879.07</v>
      </c>
      <c r="G13" s="3">
        <v>35162.800000000003</v>
      </c>
      <c r="H13" s="3">
        <v>272511.7</v>
      </c>
      <c r="I13" s="4">
        <v>6.4404248465413094E-2</v>
      </c>
    </row>
    <row r="14" spans="1:9" x14ac:dyDescent="0.2">
      <c r="A14">
        <v>4</v>
      </c>
      <c r="B14" s="5" t="s">
        <v>17</v>
      </c>
      <c r="C14" t="s">
        <v>18</v>
      </c>
      <c r="D14" t="s">
        <v>19</v>
      </c>
      <c r="E14">
        <v>40</v>
      </c>
      <c r="F14" s="3">
        <v>715.66</v>
      </c>
      <c r="G14" s="3">
        <v>28626.400000000001</v>
      </c>
      <c r="H14" s="3">
        <v>301138.09999999998</v>
      </c>
      <c r="I14" s="4">
        <v>7.1169689282340604E-2</v>
      </c>
    </row>
    <row r="15" spans="1:9" x14ac:dyDescent="0.2">
      <c r="A15">
        <v>4</v>
      </c>
      <c r="B15" s="5" t="s">
        <v>17</v>
      </c>
      <c r="C15" t="s">
        <v>20</v>
      </c>
      <c r="D15" t="s">
        <v>21</v>
      </c>
      <c r="E15">
        <v>30</v>
      </c>
      <c r="F15" s="3">
        <v>715.66</v>
      </c>
      <c r="G15" s="3">
        <v>21469.8</v>
      </c>
      <c r="H15" s="3">
        <v>322607.90000000002</v>
      </c>
      <c r="I15" s="4">
        <v>7.6243769895036229E-2</v>
      </c>
    </row>
    <row r="16" spans="1:9" x14ac:dyDescent="0.2">
      <c r="A16">
        <v>4</v>
      </c>
      <c r="B16" s="5" t="s">
        <v>17</v>
      </c>
      <c r="C16" t="s">
        <v>15</v>
      </c>
      <c r="D16" t="s">
        <v>16</v>
      </c>
      <c r="E16">
        <v>20</v>
      </c>
      <c r="F16" s="3">
        <v>879.07</v>
      </c>
      <c r="G16" s="3">
        <v>17581.400000000001</v>
      </c>
      <c r="H16" s="3">
        <v>340189.3</v>
      </c>
      <c r="I16" s="4">
        <v>8.0398882699256422E-2</v>
      </c>
    </row>
    <row r="17" spans="1:9" x14ac:dyDescent="0.2">
      <c r="A17">
        <v>5</v>
      </c>
      <c r="B17" s="5" t="s">
        <v>17</v>
      </c>
      <c r="C17" t="s">
        <v>11</v>
      </c>
      <c r="D17" t="s">
        <v>12</v>
      </c>
      <c r="E17">
        <v>40</v>
      </c>
      <c r="F17" s="3">
        <v>879.07</v>
      </c>
      <c r="G17" s="3">
        <v>35162.800000000003</v>
      </c>
      <c r="H17" s="3">
        <v>375352.1</v>
      </c>
      <c r="I17" s="4">
        <v>8.8709108307696821E-2</v>
      </c>
    </row>
    <row r="18" spans="1:9" x14ac:dyDescent="0.2">
      <c r="A18">
        <v>5</v>
      </c>
      <c r="B18" s="5" t="s">
        <v>17</v>
      </c>
      <c r="C18" t="s">
        <v>18</v>
      </c>
      <c r="D18" t="s">
        <v>19</v>
      </c>
      <c r="E18">
        <v>40</v>
      </c>
      <c r="F18" s="3">
        <v>715.66</v>
      </c>
      <c r="G18" s="3">
        <v>28626.400000000001</v>
      </c>
      <c r="H18" s="3">
        <v>403978.50000000012</v>
      </c>
      <c r="I18" s="4">
        <v>9.5474549124624331E-2</v>
      </c>
    </row>
    <row r="19" spans="1:9" x14ac:dyDescent="0.2">
      <c r="A19">
        <v>5</v>
      </c>
      <c r="B19" s="5" t="s">
        <v>17</v>
      </c>
      <c r="C19" t="s">
        <v>20</v>
      </c>
      <c r="D19" t="s">
        <v>21</v>
      </c>
      <c r="E19">
        <v>30</v>
      </c>
      <c r="F19" s="3">
        <v>715.66</v>
      </c>
      <c r="G19" s="3">
        <v>21469.8</v>
      </c>
      <c r="H19" s="3">
        <v>425448.3</v>
      </c>
      <c r="I19" s="4">
        <v>0.10054862973732</v>
      </c>
    </row>
    <row r="20" spans="1:9" x14ac:dyDescent="0.2">
      <c r="A20">
        <v>5</v>
      </c>
      <c r="B20" s="5" t="s">
        <v>17</v>
      </c>
      <c r="C20" t="s">
        <v>15</v>
      </c>
      <c r="D20" t="s">
        <v>16</v>
      </c>
      <c r="E20">
        <v>20</v>
      </c>
      <c r="F20" s="3">
        <v>879.07</v>
      </c>
      <c r="G20" s="3">
        <v>17581.400000000001</v>
      </c>
      <c r="H20" s="3">
        <v>443029.70000000013</v>
      </c>
      <c r="I20" s="4">
        <v>0.10470374254154011</v>
      </c>
    </row>
    <row r="21" spans="1:9" x14ac:dyDescent="0.2">
      <c r="A21">
        <v>6</v>
      </c>
      <c r="B21" s="5" t="s">
        <v>17</v>
      </c>
      <c r="C21" t="s">
        <v>11</v>
      </c>
      <c r="D21" t="s">
        <v>12</v>
      </c>
      <c r="E21">
        <v>40</v>
      </c>
      <c r="F21" s="3">
        <v>879.07</v>
      </c>
      <c r="G21" s="3">
        <v>35162.800000000003</v>
      </c>
      <c r="H21" s="3">
        <v>478192.50000000012</v>
      </c>
      <c r="I21" s="4">
        <v>0.11301396814998051</v>
      </c>
    </row>
    <row r="22" spans="1:9" x14ac:dyDescent="0.2">
      <c r="A22">
        <v>6</v>
      </c>
      <c r="B22" s="5" t="s">
        <v>17</v>
      </c>
      <c r="C22" t="s">
        <v>18</v>
      </c>
      <c r="D22" t="s">
        <v>19</v>
      </c>
      <c r="E22">
        <v>40</v>
      </c>
      <c r="F22" s="3">
        <v>715.66</v>
      </c>
      <c r="G22" s="3">
        <v>28626.400000000001</v>
      </c>
      <c r="H22" s="3">
        <v>506818.90000000008</v>
      </c>
      <c r="I22" s="4">
        <v>0.1197794089669081</v>
      </c>
    </row>
    <row r="23" spans="1:9" x14ac:dyDescent="0.2">
      <c r="A23">
        <v>6</v>
      </c>
      <c r="B23" s="5" t="s">
        <v>17</v>
      </c>
      <c r="C23" t="s">
        <v>20</v>
      </c>
      <c r="D23" t="s">
        <v>21</v>
      </c>
      <c r="E23">
        <v>30</v>
      </c>
      <c r="F23" s="3">
        <v>715.66</v>
      </c>
      <c r="G23" s="3">
        <v>21469.8</v>
      </c>
      <c r="H23" s="3">
        <v>528288.70000000007</v>
      </c>
      <c r="I23" s="4">
        <v>0.1248534895796037</v>
      </c>
    </row>
    <row r="24" spans="1:9" x14ac:dyDescent="0.2">
      <c r="A24">
        <v>6</v>
      </c>
      <c r="B24" s="5" t="s">
        <v>17</v>
      </c>
      <c r="C24" t="s">
        <v>15</v>
      </c>
      <c r="D24" t="s">
        <v>16</v>
      </c>
      <c r="E24">
        <v>20</v>
      </c>
      <c r="F24" s="3">
        <v>879.07</v>
      </c>
      <c r="G24" s="3">
        <v>17581.400000000001</v>
      </c>
      <c r="H24" s="3">
        <v>545870.10000000009</v>
      </c>
      <c r="I24" s="4">
        <v>0.12900860238382389</v>
      </c>
    </row>
    <row r="25" spans="1:9" x14ac:dyDescent="0.2">
      <c r="A25">
        <v>7</v>
      </c>
      <c r="B25" s="5" t="s">
        <v>17</v>
      </c>
      <c r="C25" t="s">
        <v>11</v>
      </c>
      <c r="D25" t="s">
        <v>12</v>
      </c>
      <c r="E25">
        <v>40</v>
      </c>
      <c r="F25" s="3">
        <v>879.07</v>
      </c>
      <c r="G25" s="3">
        <v>35162.800000000003</v>
      </c>
      <c r="H25" s="3">
        <v>581032.90000000014</v>
      </c>
      <c r="I25" s="4">
        <v>0.1373188279922643</v>
      </c>
    </row>
    <row r="26" spans="1:9" x14ac:dyDescent="0.2">
      <c r="A26">
        <v>7</v>
      </c>
      <c r="B26" s="5" t="s">
        <v>17</v>
      </c>
      <c r="C26" t="s">
        <v>18</v>
      </c>
      <c r="D26" t="s">
        <v>19</v>
      </c>
      <c r="E26">
        <v>40</v>
      </c>
      <c r="F26" s="3">
        <v>715.66</v>
      </c>
      <c r="G26" s="3">
        <v>28626.400000000001</v>
      </c>
      <c r="H26" s="3">
        <v>609659.30000000016</v>
      </c>
      <c r="I26" s="4">
        <v>0.14408426880919181</v>
      </c>
    </row>
    <row r="27" spans="1:9" x14ac:dyDescent="0.2">
      <c r="A27">
        <v>7</v>
      </c>
      <c r="B27" s="5" t="s">
        <v>17</v>
      </c>
      <c r="C27" t="s">
        <v>20</v>
      </c>
      <c r="D27" t="s">
        <v>21</v>
      </c>
      <c r="E27">
        <v>30</v>
      </c>
      <c r="F27" s="3">
        <v>715.66</v>
      </c>
      <c r="G27" s="3">
        <v>21469.8</v>
      </c>
      <c r="H27" s="3">
        <v>631129.10000000021</v>
      </c>
      <c r="I27" s="4">
        <v>0.14915834942188741</v>
      </c>
    </row>
    <row r="28" spans="1:9" x14ac:dyDescent="0.2">
      <c r="A28">
        <v>7</v>
      </c>
      <c r="B28" s="5" t="s">
        <v>17</v>
      </c>
      <c r="C28" t="s">
        <v>15</v>
      </c>
      <c r="D28" t="s">
        <v>16</v>
      </c>
      <c r="E28">
        <v>20</v>
      </c>
      <c r="F28" s="3">
        <v>879.07</v>
      </c>
      <c r="G28" s="3">
        <v>17581.400000000001</v>
      </c>
      <c r="H28" s="3">
        <v>648710.50000000023</v>
      </c>
      <c r="I28" s="4">
        <v>0.15331346222610759</v>
      </c>
    </row>
    <row r="29" spans="1:9" x14ac:dyDescent="0.2">
      <c r="A29">
        <v>8</v>
      </c>
      <c r="B29" s="6" t="s">
        <v>22</v>
      </c>
      <c r="C29" t="s">
        <v>11</v>
      </c>
      <c r="D29" t="s">
        <v>12</v>
      </c>
      <c r="E29">
        <v>30</v>
      </c>
      <c r="F29" s="3">
        <v>879.07</v>
      </c>
      <c r="G29" s="3">
        <v>26372.1</v>
      </c>
      <c r="H29" s="3">
        <v>675082.60000000021</v>
      </c>
      <c r="I29" s="4">
        <v>0.1595461314324379</v>
      </c>
    </row>
    <row r="30" spans="1:9" x14ac:dyDescent="0.2">
      <c r="A30">
        <v>8</v>
      </c>
      <c r="B30" s="6" t="s">
        <v>22</v>
      </c>
      <c r="C30" t="s">
        <v>18</v>
      </c>
      <c r="D30" t="s">
        <v>19</v>
      </c>
      <c r="E30">
        <v>40</v>
      </c>
      <c r="F30" s="3">
        <v>715.66</v>
      </c>
      <c r="G30" s="3">
        <v>28626.400000000001</v>
      </c>
      <c r="H30" s="3">
        <v>703709.00000000023</v>
      </c>
      <c r="I30" s="4">
        <v>0.16631157224936541</v>
      </c>
    </row>
    <row r="31" spans="1:9" x14ac:dyDescent="0.2">
      <c r="A31">
        <v>8</v>
      </c>
      <c r="B31" s="6" t="s">
        <v>22</v>
      </c>
      <c r="C31" t="s">
        <v>20</v>
      </c>
      <c r="D31" t="s">
        <v>21</v>
      </c>
      <c r="E31">
        <v>20</v>
      </c>
      <c r="F31" s="3">
        <v>715.66</v>
      </c>
      <c r="G31" s="3">
        <v>14313.2</v>
      </c>
      <c r="H31" s="3">
        <v>718022.20000000019</v>
      </c>
      <c r="I31" s="4">
        <v>0.1696942926578292</v>
      </c>
    </row>
    <row r="32" spans="1:9" x14ac:dyDescent="0.2">
      <c r="A32">
        <v>8</v>
      </c>
      <c r="B32" s="6" t="s">
        <v>22</v>
      </c>
      <c r="C32" t="s">
        <v>15</v>
      </c>
      <c r="D32" t="s">
        <v>16</v>
      </c>
      <c r="E32">
        <v>20</v>
      </c>
      <c r="F32" s="3">
        <v>879.07</v>
      </c>
      <c r="G32" s="3">
        <v>17581.400000000001</v>
      </c>
      <c r="H32" s="3">
        <v>735603.60000000021</v>
      </c>
      <c r="I32" s="4">
        <v>0.17384940546204941</v>
      </c>
    </row>
    <row r="33" spans="1:9" x14ac:dyDescent="0.2">
      <c r="A33">
        <v>9</v>
      </c>
      <c r="B33" s="6" t="s">
        <v>22</v>
      </c>
      <c r="C33" t="s">
        <v>11</v>
      </c>
      <c r="D33" t="s">
        <v>12</v>
      </c>
      <c r="E33">
        <v>30</v>
      </c>
      <c r="F33" s="3">
        <v>879.07</v>
      </c>
      <c r="G33" s="3">
        <v>26372.1</v>
      </c>
      <c r="H33" s="3">
        <v>761975.70000000019</v>
      </c>
      <c r="I33" s="4">
        <v>0.18008207466837969</v>
      </c>
    </row>
    <row r="34" spans="1:9" x14ac:dyDescent="0.2">
      <c r="A34">
        <v>9</v>
      </c>
      <c r="B34" s="6" t="s">
        <v>22</v>
      </c>
      <c r="C34" t="s">
        <v>18</v>
      </c>
      <c r="D34" t="s">
        <v>19</v>
      </c>
      <c r="E34">
        <v>40</v>
      </c>
      <c r="F34" s="3">
        <v>715.66</v>
      </c>
      <c r="G34" s="3">
        <v>28626.400000000001</v>
      </c>
      <c r="H34" s="3">
        <v>790602.10000000021</v>
      </c>
      <c r="I34" s="4">
        <v>0.1868475154853072</v>
      </c>
    </row>
    <row r="35" spans="1:9" x14ac:dyDescent="0.2">
      <c r="A35">
        <v>9</v>
      </c>
      <c r="B35" s="6" t="s">
        <v>22</v>
      </c>
      <c r="C35" t="s">
        <v>20</v>
      </c>
      <c r="D35" t="s">
        <v>21</v>
      </c>
      <c r="E35">
        <v>20</v>
      </c>
      <c r="F35" s="3">
        <v>715.66</v>
      </c>
      <c r="G35" s="3">
        <v>14313.2</v>
      </c>
      <c r="H35" s="3">
        <v>804915.30000000016</v>
      </c>
      <c r="I35" s="4">
        <v>0.19023023589377089</v>
      </c>
    </row>
    <row r="36" spans="1:9" x14ac:dyDescent="0.2">
      <c r="A36">
        <v>9</v>
      </c>
      <c r="B36" s="6" t="s">
        <v>22</v>
      </c>
      <c r="C36" t="s">
        <v>15</v>
      </c>
      <c r="D36" t="s">
        <v>16</v>
      </c>
      <c r="E36">
        <v>20</v>
      </c>
      <c r="F36" s="3">
        <v>879.07</v>
      </c>
      <c r="G36" s="3">
        <v>17581.400000000001</v>
      </c>
      <c r="H36" s="3">
        <v>822496.70000000019</v>
      </c>
      <c r="I36" s="4">
        <v>0.19438534869799109</v>
      </c>
    </row>
    <row r="37" spans="1:9" x14ac:dyDescent="0.2">
      <c r="A37">
        <v>10</v>
      </c>
      <c r="B37" s="6" t="s">
        <v>22</v>
      </c>
      <c r="C37" t="s">
        <v>11</v>
      </c>
      <c r="D37" t="s">
        <v>12</v>
      </c>
      <c r="E37">
        <v>30</v>
      </c>
      <c r="F37" s="3">
        <v>879.07</v>
      </c>
      <c r="G37" s="3">
        <v>26372.1</v>
      </c>
      <c r="H37" s="3">
        <v>848868.80000000016</v>
      </c>
      <c r="I37" s="4">
        <v>0.20061801790432141</v>
      </c>
    </row>
    <row r="38" spans="1:9" x14ac:dyDescent="0.2">
      <c r="A38">
        <v>10</v>
      </c>
      <c r="B38" s="6" t="s">
        <v>22</v>
      </c>
      <c r="C38" t="s">
        <v>18</v>
      </c>
      <c r="D38" t="s">
        <v>19</v>
      </c>
      <c r="E38">
        <v>40</v>
      </c>
      <c r="F38" s="3">
        <v>715.66</v>
      </c>
      <c r="G38" s="3">
        <v>28626.400000000001</v>
      </c>
      <c r="H38" s="3">
        <v>877495.20000000019</v>
      </c>
      <c r="I38" s="4">
        <v>0.20738345872124889</v>
      </c>
    </row>
    <row r="39" spans="1:9" x14ac:dyDescent="0.2">
      <c r="A39">
        <v>10</v>
      </c>
      <c r="B39" s="6" t="s">
        <v>22</v>
      </c>
      <c r="C39" t="s">
        <v>20</v>
      </c>
      <c r="D39" t="s">
        <v>21</v>
      </c>
      <c r="E39">
        <v>20</v>
      </c>
      <c r="F39" s="3">
        <v>715.66</v>
      </c>
      <c r="G39" s="3">
        <v>14313.2</v>
      </c>
      <c r="H39" s="3">
        <v>891808.40000000014</v>
      </c>
      <c r="I39" s="4">
        <v>0.21076617912971271</v>
      </c>
    </row>
    <row r="40" spans="1:9" x14ac:dyDescent="0.2">
      <c r="A40">
        <v>10</v>
      </c>
      <c r="B40" s="6" t="s">
        <v>22</v>
      </c>
      <c r="C40" t="s">
        <v>15</v>
      </c>
      <c r="D40" t="s">
        <v>16</v>
      </c>
      <c r="E40">
        <v>20</v>
      </c>
      <c r="F40" s="3">
        <v>879.07</v>
      </c>
      <c r="G40" s="3">
        <v>17581.400000000001</v>
      </c>
      <c r="H40" s="3">
        <v>909389.80000000016</v>
      </c>
      <c r="I40" s="4">
        <v>0.21492129193393289</v>
      </c>
    </row>
    <row r="41" spans="1:9" x14ac:dyDescent="0.2">
      <c r="A41">
        <v>11</v>
      </c>
      <c r="B41" s="6" t="s">
        <v>22</v>
      </c>
      <c r="C41" t="s">
        <v>11</v>
      </c>
      <c r="D41" t="s">
        <v>12</v>
      </c>
      <c r="E41">
        <v>30</v>
      </c>
      <c r="F41" s="3">
        <v>879.07</v>
      </c>
      <c r="G41" s="3">
        <v>26372.1</v>
      </c>
      <c r="H41" s="3">
        <v>935761.90000000014</v>
      </c>
      <c r="I41" s="4">
        <v>0.22115396114026309</v>
      </c>
    </row>
    <row r="42" spans="1:9" x14ac:dyDescent="0.2">
      <c r="A42">
        <v>11</v>
      </c>
      <c r="B42" s="6" t="s">
        <v>22</v>
      </c>
      <c r="C42" t="s">
        <v>18</v>
      </c>
      <c r="D42" t="s">
        <v>19</v>
      </c>
      <c r="E42">
        <v>40</v>
      </c>
      <c r="F42" s="3">
        <v>715.66</v>
      </c>
      <c r="G42" s="3">
        <v>28626.400000000001</v>
      </c>
      <c r="H42" s="3">
        <v>964388.30000000016</v>
      </c>
      <c r="I42" s="4">
        <v>0.22791940195719071</v>
      </c>
    </row>
    <row r="43" spans="1:9" x14ac:dyDescent="0.2">
      <c r="A43">
        <v>11</v>
      </c>
      <c r="B43" s="6" t="s">
        <v>22</v>
      </c>
      <c r="C43" t="s">
        <v>20</v>
      </c>
      <c r="D43" t="s">
        <v>21</v>
      </c>
      <c r="E43">
        <v>20</v>
      </c>
      <c r="F43" s="3">
        <v>715.66</v>
      </c>
      <c r="G43" s="3">
        <v>14313.2</v>
      </c>
      <c r="H43" s="3">
        <v>978701.50000000012</v>
      </c>
      <c r="I43" s="4">
        <v>0.23130212236565439</v>
      </c>
    </row>
    <row r="44" spans="1:9" x14ac:dyDescent="0.2">
      <c r="A44">
        <v>11</v>
      </c>
      <c r="B44" s="6" t="s">
        <v>22</v>
      </c>
      <c r="C44" t="s">
        <v>15</v>
      </c>
      <c r="D44" t="s">
        <v>16</v>
      </c>
      <c r="E44">
        <v>20</v>
      </c>
      <c r="F44" s="3">
        <v>879.07</v>
      </c>
      <c r="G44" s="3">
        <v>17581.400000000001</v>
      </c>
      <c r="H44" s="3">
        <v>996282.90000000014</v>
      </c>
      <c r="I44" s="4">
        <v>0.2354572351698746</v>
      </c>
    </row>
    <row r="45" spans="1:9" x14ac:dyDescent="0.2">
      <c r="A45">
        <v>12</v>
      </c>
      <c r="B45" s="6" t="s">
        <v>22</v>
      </c>
      <c r="C45" t="s">
        <v>11</v>
      </c>
      <c r="D45" t="s">
        <v>12</v>
      </c>
      <c r="E45">
        <v>30</v>
      </c>
      <c r="F45" s="3">
        <v>879.07</v>
      </c>
      <c r="G45" s="3">
        <v>26372.1</v>
      </c>
      <c r="H45" s="3">
        <v>1022655</v>
      </c>
      <c r="I45" s="4">
        <v>0.24168990437620491</v>
      </c>
    </row>
    <row r="46" spans="1:9" x14ac:dyDescent="0.2">
      <c r="A46">
        <v>12</v>
      </c>
      <c r="B46" s="6" t="s">
        <v>22</v>
      </c>
      <c r="C46" t="s">
        <v>18</v>
      </c>
      <c r="D46" t="s">
        <v>19</v>
      </c>
      <c r="E46">
        <v>40</v>
      </c>
      <c r="F46" s="3">
        <v>715.66</v>
      </c>
      <c r="G46" s="3">
        <v>28626.400000000001</v>
      </c>
      <c r="H46" s="3">
        <v>1051281.3999999999</v>
      </c>
      <c r="I46" s="4">
        <v>0.24845534519313239</v>
      </c>
    </row>
    <row r="47" spans="1:9" x14ac:dyDescent="0.2">
      <c r="A47">
        <v>12</v>
      </c>
      <c r="B47" s="6" t="s">
        <v>22</v>
      </c>
      <c r="C47" t="s">
        <v>20</v>
      </c>
      <c r="D47" t="s">
        <v>21</v>
      </c>
      <c r="E47">
        <v>20</v>
      </c>
      <c r="F47" s="3">
        <v>715.66</v>
      </c>
      <c r="G47" s="3">
        <v>14313.2</v>
      </c>
      <c r="H47" s="3">
        <v>1065594.6000000001</v>
      </c>
      <c r="I47" s="4">
        <v>0.25183806560159622</v>
      </c>
    </row>
    <row r="48" spans="1:9" x14ac:dyDescent="0.2">
      <c r="A48">
        <v>12</v>
      </c>
      <c r="B48" s="6" t="s">
        <v>22</v>
      </c>
      <c r="C48" t="s">
        <v>15</v>
      </c>
      <c r="D48" t="s">
        <v>16</v>
      </c>
      <c r="E48">
        <v>20</v>
      </c>
      <c r="F48" s="3">
        <v>879.07</v>
      </c>
      <c r="G48" s="3">
        <v>17581.400000000001</v>
      </c>
      <c r="H48" s="3">
        <v>1083176</v>
      </c>
      <c r="I48" s="4">
        <v>0.25599317840581631</v>
      </c>
    </row>
    <row r="49" spans="1:9" x14ac:dyDescent="0.2">
      <c r="A49">
        <v>13</v>
      </c>
      <c r="B49" s="6" t="s">
        <v>22</v>
      </c>
      <c r="C49" t="s">
        <v>11</v>
      </c>
      <c r="D49" t="s">
        <v>12</v>
      </c>
      <c r="E49">
        <v>30</v>
      </c>
      <c r="F49" s="3">
        <v>879.07</v>
      </c>
      <c r="G49" s="3">
        <v>26372.1</v>
      </c>
      <c r="H49" s="3">
        <v>1109548.1000000001</v>
      </c>
      <c r="I49" s="4">
        <v>0.26222584761214662</v>
      </c>
    </row>
    <row r="50" spans="1:9" x14ac:dyDescent="0.2">
      <c r="A50">
        <v>13</v>
      </c>
      <c r="B50" s="6" t="s">
        <v>22</v>
      </c>
      <c r="C50" t="s">
        <v>18</v>
      </c>
      <c r="D50" t="s">
        <v>19</v>
      </c>
      <c r="E50">
        <v>40</v>
      </c>
      <c r="F50" s="3">
        <v>715.66</v>
      </c>
      <c r="G50" s="3">
        <v>28626.400000000001</v>
      </c>
      <c r="H50" s="3">
        <v>1138174.5</v>
      </c>
      <c r="I50" s="4">
        <v>0.2689912884290741</v>
      </c>
    </row>
    <row r="51" spans="1:9" x14ac:dyDescent="0.2">
      <c r="A51">
        <v>13</v>
      </c>
      <c r="B51" s="6" t="s">
        <v>22</v>
      </c>
      <c r="C51" t="s">
        <v>20</v>
      </c>
      <c r="D51" t="s">
        <v>21</v>
      </c>
      <c r="E51">
        <v>20</v>
      </c>
      <c r="F51" s="3">
        <v>715.66</v>
      </c>
      <c r="G51" s="3">
        <v>14313.2</v>
      </c>
      <c r="H51" s="3">
        <v>1152487.7</v>
      </c>
      <c r="I51" s="4">
        <v>0.27237400883753787</v>
      </c>
    </row>
    <row r="52" spans="1:9" x14ac:dyDescent="0.2">
      <c r="A52">
        <v>13</v>
      </c>
      <c r="B52" s="6" t="s">
        <v>22</v>
      </c>
      <c r="C52" t="s">
        <v>15</v>
      </c>
      <c r="D52" t="s">
        <v>16</v>
      </c>
      <c r="E52">
        <v>20</v>
      </c>
      <c r="F52" s="3">
        <v>879.07</v>
      </c>
      <c r="G52" s="3">
        <v>17581.400000000001</v>
      </c>
      <c r="H52" s="3">
        <v>1170069.1000000001</v>
      </c>
      <c r="I52" s="4">
        <v>0.27652912164175802</v>
      </c>
    </row>
    <row r="53" spans="1:9" x14ac:dyDescent="0.2">
      <c r="A53">
        <v>14</v>
      </c>
      <c r="B53" s="6" t="s">
        <v>22</v>
      </c>
      <c r="C53" t="s">
        <v>11</v>
      </c>
      <c r="D53" t="s">
        <v>12</v>
      </c>
      <c r="E53">
        <v>30</v>
      </c>
      <c r="F53" s="3">
        <v>879.07</v>
      </c>
      <c r="G53" s="3">
        <v>26372.1</v>
      </c>
      <c r="H53" s="3">
        <v>1196441.2</v>
      </c>
      <c r="I53" s="4">
        <v>0.28276179084808828</v>
      </c>
    </row>
    <row r="54" spans="1:9" x14ac:dyDescent="0.2">
      <c r="A54">
        <v>14</v>
      </c>
      <c r="B54" s="6" t="s">
        <v>22</v>
      </c>
      <c r="C54" t="s">
        <v>18</v>
      </c>
      <c r="D54" t="s">
        <v>19</v>
      </c>
      <c r="E54">
        <v>40</v>
      </c>
      <c r="F54" s="3">
        <v>715.66</v>
      </c>
      <c r="G54" s="3">
        <v>28626.400000000001</v>
      </c>
      <c r="H54" s="3">
        <v>1225067.6000000001</v>
      </c>
      <c r="I54" s="4">
        <v>0.28952723166501582</v>
      </c>
    </row>
    <row r="55" spans="1:9" x14ac:dyDescent="0.2">
      <c r="A55">
        <v>14</v>
      </c>
      <c r="B55" s="6" t="s">
        <v>22</v>
      </c>
      <c r="C55" t="s">
        <v>20</v>
      </c>
      <c r="D55" t="s">
        <v>21</v>
      </c>
      <c r="E55">
        <v>20</v>
      </c>
      <c r="F55" s="3">
        <v>715.66</v>
      </c>
      <c r="G55" s="3">
        <v>14313.2</v>
      </c>
      <c r="H55" s="3">
        <v>1239380.8</v>
      </c>
      <c r="I55" s="4">
        <v>0.29290995207347958</v>
      </c>
    </row>
    <row r="56" spans="1:9" x14ac:dyDescent="0.2">
      <c r="A56">
        <v>14</v>
      </c>
      <c r="B56" s="6" t="s">
        <v>22</v>
      </c>
      <c r="C56" t="s">
        <v>15</v>
      </c>
      <c r="D56" t="s">
        <v>16</v>
      </c>
      <c r="E56">
        <v>20</v>
      </c>
      <c r="F56" s="3">
        <v>879.07</v>
      </c>
      <c r="G56" s="3">
        <v>17581.400000000001</v>
      </c>
      <c r="H56" s="3">
        <v>1256962.2</v>
      </c>
      <c r="I56" s="4">
        <v>0.29706506487769968</v>
      </c>
    </row>
    <row r="57" spans="1:9" x14ac:dyDescent="0.2">
      <c r="A57">
        <v>15</v>
      </c>
      <c r="B57" s="6" t="s">
        <v>22</v>
      </c>
      <c r="C57" t="s">
        <v>11</v>
      </c>
      <c r="D57" t="s">
        <v>12</v>
      </c>
      <c r="E57">
        <v>30</v>
      </c>
      <c r="F57" s="3">
        <v>879.07</v>
      </c>
      <c r="G57" s="3">
        <v>26372.1</v>
      </c>
      <c r="H57" s="3">
        <v>1283334.3</v>
      </c>
      <c r="I57" s="4">
        <v>0.30329773408402999</v>
      </c>
    </row>
    <row r="58" spans="1:9" x14ac:dyDescent="0.2">
      <c r="A58">
        <v>15</v>
      </c>
      <c r="B58" s="6" t="s">
        <v>22</v>
      </c>
      <c r="C58" t="s">
        <v>18</v>
      </c>
      <c r="D58" t="s">
        <v>19</v>
      </c>
      <c r="E58">
        <v>40</v>
      </c>
      <c r="F58" s="3">
        <v>715.66</v>
      </c>
      <c r="G58" s="3">
        <v>28626.400000000001</v>
      </c>
      <c r="H58" s="3">
        <v>1311960.7</v>
      </c>
      <c r="I58" s="4">
        <v>0.31006317490095747</v>
      </c>
    </row>
    <row r="59" spans="1:9" x14ac:dyDescent="0.2">
      <c r="A59">
        <v>15</v>
      </c>
      <c r="B59" s="6" t="s">
        <v>22</v>
      </c>
      <c r="C59" t="s">
        <v>20</v>
      </c>
      <c r="D59" t="s">
        <v>21</v>
      </c>
      <c r="E59">
        <v>20</v>
      </c>
      <c r="F59" s="3">
        <v>715.66</v>
      </c>
      <c r="G59" s="3">
        <v>14313.2</v>
      </c>
      <c r="H59" s="3">
        <v>1326273.8999999999</v>
      </c>
      <c r="I59" s="4">
        <v>0.3134458953094213</v>
      </c>
    </row>
    <row r="60" spans="1:9" x14ac:dyDescent="0.2">
      <c r="A60">
        <v>15</v>
      </c>
      <c r="B60" s="6" t="s">
        <v>22</v>
      </c>
      <c r="C60" t="s">
        <v>15</v>
      </c>
      <c r="D60" t="s">
        <v>16</v>
      </c>
      <c r="E60">
        <v>20</v>
      </c>
      <c r="F60" s="3">
        <v>879.07</v>
      </c>
      <c r="G60" s="3">
        <v>17581.400000000001</v>
      </c>
      <c r="H60" s="3">
        <v>1343855.3</v>
      </c>
      <c r="I60" s="4">
        <v>0.31760100811364139</v>
      </c>
    </row>
    <row r="61" spans="1:9" x14ac:dyDescent="0.2">
      <c r="A61">
        <v>16</v>
      </c>
      <c r="B61" s="7" t="s">
        <v>23</v>
      </c>
      <c r="C61" t="s">
        <v>11</v>
      </c>
      <c r="D61" t="s">
        <v>12</v>
      </c>
      <c r="E61">
        <v>20</v>
      </c>
      <c r="F61" s="3">
        <v>879.07</v>
      </c>
      <c r="G61" s="3">
        <v>17581.400000000001</v>
      </c>
      <c r="H61" s="3">
        <v>1361436.699999999</v>
      </c>
      <c r="I61" s="4">
        <v>0.32175612091786171</v>
      </c>
    </row>
    <row r="62" spans="1:9" x14ac:dyDescent="0.2">
      <c r="A62">
        <v>16</v>
      </c>
      <c r="B62" s="7" t="s">
        <v>23</v>
      </c>
      <c r="C62" t="s">
        <v>24</v>
      </c>
      <c r="D62" t="s">
        <v>25</v>
      </c>
      <c r="E62">
        <v>40</v>
      </c>
      <c r="F62" s="3">
        <v>879.07</v>
      </c>
      <c r="G62" s="3">
        <v>35162.800000000003</v>
      </c>
      <c r="H62" s="3">
        <v>1396599.5</v>
      </c>
      <c r="I62" s="4">
        <v>0.33006634652630212</v>
      </c>
    </row>
    <row r="63" spans="1:9" x14ac:dyDescent="0.2">
      <c r="A63">
        <v>16</v>
      </c>
      <c r="B63" s="7" t="s">
        <v>23</v>
      </c>
      <c r="C63" t="s">
        <v>15</v>
      </c>
      <c r="D63" t="s">
        <v>16</v>
      </c>
      <c r="E63">
        <v>15</v>
      </c>
      <c r="F63" s="3">
        <v>879.07</v>
      </c>
      <c r="G63" s="3">
        <v>13186.05</v>
      </c>
      <c r="H63" s="3">
        <v>1409785.55</v>
      </c>
      <c r="I63" s="4">
        <v>0.3331826811294672</v>
      </c>
    </row>
    <row r="64" spans="1:9" x14ac:dyDescent="0.2">
      <c r="A64">
        <v>17</v>
      </c>
      <c r="B64" s="7" t="s">
        <v>23</v>
      </c>
      <c r="C64" t="s">
        <v>11</v>
      </c>
      <c r="D64" t="s">
        <v>12</v>
      </c>
      <c r="E64">
        <v>20</v>
      </c>
      <c r="F64" s="3">
        <v>879.07</v>
      </c>
      <c r="G64" s="3">
        <v>17581.400000000001</v>
      </c>
      <c r="H64" s="3">
        <v>1427366.949999999</v>
      </c>
      <c r="I64" s="4">
        <v>0.3373377939336874</v>
      </c>
    </row>
    <row r="65" spans="1:9" x14ac:dyDescent="0.2">
      <c r="A65">
        <v>17</v>
      </c>
      <c r="B65" s="7" t="s">
        <v>23</v>
      </c>
      <c r="C65" t="s">
        <v>24</v>
      </c>
      <c r="D65" t="s">
        <v>25</v>
      </c>
      <c r="E65">
        <v>40</v>
      </c>
      <c r="F65" s="3">
        <v>879.07</v>
      </c>
      <c r="G65" s="3">
        <v>35162.800000000003</v>
      </c>
      <c r="H65" s="3">
        <v>1462529.75</v>
      </c>
      <c r="I65" s="4">
        <v>0.34564801954212782</v>
      </c>
    </row>
    <row r="66" spans="1:9" x14ac:dyDescent="0.2">
      <c r="A66">
        <v>17</v>
      </c>
      <c r="B66" s="7" t="s">
        <v>23</v>
      </c>
      <c r="C66" t="s">
        <v>15</v>
      </c>
      <c r="D66" t="s">
        <v>16</v>
      </c>
      <c r="E66">
        <v>15</v>
      </c>
      <c r="F66" s="3">
        <v>879.07</v>
      </c>
      <c r="G66" s="3">
        <v>13186.05</v>
      </c>
      <c r="H66" s="3">
        <v>1475715.8</v>
      </c>
      <c r="I66" s="4">
        <v>0.34876435414529289</v>
      </c>
    </row>
    <row r="67" spans="1:9" x14ac:dyDescent="0.2">
      <c r="A67">
        <v>18</v>
      </c>
      <c r="B67" s="7" t="s">
        <v>23</v>
      </c>
      <c r="C67" t="s">
        <v>11</v>
      </c>
      <c r="D67" t="s">
        <v>12</v>
      </c>
      <c r="E67">
        <v>20</v>
      </c>
      <c r="F67" s="3">
        <v>879.07</v>
      </c>
      <c r="G67" s="3">
        <v>17581.400000000001</v>
      </c>
      <c r="H67" s="3">
        <v>1493297.199999999</v>
      </c>
      <c r="I67" s="4">
        <v>0.35291946694951309</v>
      </c>
    </row>
    <row r="68" spans="1:9" x14ac:dyDescent="0.2">
      <c r="A68">
        <v>18</v>
      </c>
      <c r="B68" s="7" t="s">
        <v>23</v>
      </c>
      <c r="C68" t="s">
        <v>24</v>
      </c>
      <c r="D68" t="s">
        <v>25</v>
      </c>
      <c r="E68">
        <v>40</v>
      </c>
      <c r="F68" s="3">
        <v>879.07</v>
      </c>
      <c r="G68" s="3">
        <v>35162.800000000003</v>
      </c>
      <c r="H68" s="3">
        <v>1528460</v>
      </c>
      <c r="I68" s="4">
        <v>0.36122969255795362</v>
      </c>
    </row>
    <row r="69" spans="1:9" x14ac:dyDescent="0.2">
      <c r="A69">
        <v>18</v>
      </c>
      <c r="B69" s="7" t="s">
        <v>23</v>
      </c>
      <c r="C69" t="s">
        <v>15</v>
      </c>
      <c r="D69" t="s">
        <v>16</v>
      </c>
      <c r="E69">
        <v>15</v>
      </c>
      <c r="F69" s="3">
        <v>879.07</v>
      </c>
      <c r="G69" s="3">
        <v>13186.05</v>
      </c>
      <c r="H69" s="3">
        <v>1541646.05</v>
      </c>
      <c r="I69" s="4">
        <v>0.36434602716111869</v>
      </c>
    </row>
    <row r="70" spans="1:9" x14ac:dyDescent="0.2">
      <c r="A70">
        <v>19</v>
      </c>
      <c r="B70" s="7" t="s">
        <v>23</v>
      </c>
      <c r="C70" t="s">
        <v>11</v>
      </c>
      <c r="D70" t="s">
        <v>12</v>
      </c>
      <c r="E70">
        <v>20</v>
      </c>
      <c r="F70" s="3">
        <v>879.07</v>
      </c>
      <c r="G70" s="3">
        <v>17581.400000000001</v>
      </c>
      <c r="H70" s="3">
        <v>1559227.449999999</v>
      </c>
      <c r="I70" s="4">
        <v>0.3685011399653389</v>
      </c>
    </row>
    <row r="71" spans="1:9" x14ac:dyDescent="0.2">
      <c r="A71">
        <v>19</v>
      </c>
      <c r="B71" s="7" t="s">
        <v>23</v>
      </c>
      <c r="C71" t="s">
        <v>24</v>
      </c>
      <c r="D71" t="s">
        <v>25</v>
      </c>
      <c r="E71">
        <v>40</v>
      </c>
      <c r="F71" s="3">
        <v>879.07</v>
      </c>
      <c r="G71" s="3">
        <v>35162.800000000003</v>
      </c>
      <c r="H71" s="3">
        <v>1594390.25</v>
      </c>
      <c r="I71" s="4">
        <v>0.37681136557377931</v>
      </c>
    </row>
    <row r="72" spans="1:9" x14ac:dyDescent="0.2">
      <c r="A72">
        <v>19</v>
      </c>
      <c r="B72" s="7" t="s">
        <v>23</v>
      </c>
      <c r="C72" t="s">
        <v>15</v>
      </c>
      <c r="D72" t="s">
        <v>16</v>
      </c>
      <c r="E72">
        <v>15</v>
      </c>
      <c r="F72" s="3">
        <v>879.07</v>
      </c>
      <c r="G72" s="3">
        <v>13186.05</v>
      </c>
      <c r="H72" s="3">
        <v>1607576.3</v>
      </c>
      <c r="I72" s="4">
        <v>0.37992770017694438</v>
      </c>
    </row>
    <row r="73" spans="1:9" x14ac:dyDescent="0.2">
      <c r="A73">
        <v>20</v>
      </c>
      <c r="B73" s="7" t="s">
        <v>23</v>
      </c>
      <c r="C73" t="s">
        <v>11</v>
      </c>
      <c r="D73" t="s">
        <v>12</v>
      </c>
      <c r="E73">
        <v>20</v>
      </c>
      <c r="F73" s="3">
        <v>879.07</v>
      </c>
      <c r="G73" s="3">
        <v>17581.400000000001</v>
      </c>
      <c r="H73" s="3">
        <v>1625157.699999999</v>
      </c>
      <c r="I73" s="4">
        <v>0.38408281298116459</v>
      </c>
    </row>
    <row r="74" spans="1:9" x14ac:dyDescent="0.2">
      <c r="A74">
        <v>20</v>
      </c>
      <c r="B74" s="7" t="s">
        <v>23</v>
      </c>
      <c r="C74" t="s">
        <v>24</v>
      </c>
      <c r="D74" t="s">
        <v>25</v>
      </c>
      <c r="E74">
        <v>40</v>
      </c>
      <c r="F74" s="3">
        <v>879.07</v>
      </c>
      <c r="G74" s="3">
        <v>35162.800000000003</v>
      </c>
      <c r="H74" s="3">
        <v>1660320.5</v>
      </c>
      <c r="I74" s="4">
        <v>0.39239303858960511</v>
      </c>
    </row>
    <row r="75" spans="1:9" x14ac:dyDescent="0.2">
      <c r="A75">
        <v>20</v>
      </c>
      <c r="B75" s="7" t="s">
        <v>23</v>
      </c>
      <c r="C75" t="s">
        <v>15</v>
      </c>
      <c r="D75" t="s">
        <v>16</v>
      </c>
      <c r="E75">
        <v>15</v>
      </c>
      <c r="F75" s="3">
        <v>879.07</v>
      </c>
      <c r="G75" s="3">
        <v>13186.05</v>
      </c>
      <c r="H75" s="3">
        <v>1673506.55</v>
      </c>
      <c r="I75" s="4">
        <v>0.39550937319277019</v>
      </c>
    </row>
    <row r="76" spans="1:9" ht="16" x14ac:dyDescent="0.2">
      <c r="A76" s="8" t="s">
        <v>26</v>
      </c>
      <c r="E76" s="8">
        <v>2045</v>
      </c>
      <c r="G76" s="9">
        <v>1673506.55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12" customWidth="1"/>
    <col min="4" max="4" width="15" customWidth="1"/>
    <col min="5" max="5" width="18" customWidth="1"/>
    <col min="6" max="6" width="12" customWidth="1"/>
  </cols>
  <sheetData>
    <row r="1" spans="1:6" ht="19" x14ac:dyDescent="0.25">
      <c r="A1" s="13" t="s">
        <v>27</v>
      </c>
      <c r="B1" s="14"/>
      <c r="C1" s="14"/>
      <c r="D1" s="14"/>
      <c r="E1" s="14"/>
      <c r="F1" s="14"/>
    </row>
    <row r="3" spans="1:6" x14ac:dyDescent="0.2">
      <c r="A3" s="10" t="s">
        <v>2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</row>
    <row r="4" spans="1:6" x14ac:dyDescent="0.2">
      <c r="A4" t="s">
        <v>33</v>
      </c>
      <c r="B4" t="s">
        <v>34</v>
      </c>
      <c r="C4">
        <v>3</v>
      </c>
      <c r="D4">
        <v>270</v>
      </c>
      <c r="E4" s="3">
        <v>237348.9</v>
      </c>
      <c r="F4" s="4">
        <v>5.6094022856972701E-2</v>
      </c>
    </row>
    <row r="5" spans="1:6" x14ac:dyDescent="0.2">
      <c r="A5" t="s">
        <v>35</v>
      </c>
      <c r="B5" t="s">
        <v>36</v>
      </c>
      <c r="C5">
        <v>4</v>
      </c>
      <c r="D5">
        <v>520</v>
      </c>
      <c r="E5" s="3">
        <v>411361.6</v>
      </c>
      <c r="F5" s="4">
        <v>9.721943936913488E-2</v>
      </c>
    </row>
    <row r="6" spans="1:6" x14ac:dyDescent="0.2">
      <c r="A6" t="s">
        <v>37</v>
      </c>
      <c r="B6" t="s">
        <v>38</v>
      </c>
      <c r="C6">
        <v>8</v>
      </c>
      <c r="D6">
        <v>880</v>
      </c>
      <c r="E6" s="3">
        <v>695144.8</v>
      </c>
      <c r="F6" s="4">
        <v>0.164287545887534</v>
      </c>
    </row>
    <row r="7" spans="1:6" x14ac:dyDescent="0.2">
      <c r="A7" t="s">
        <v>39</v>
      </c>
      <c r="B7" t="s">
        <v>40</v>
      </c>
      <c r="C7">
        <v>5</v>
      </c>
      <c r="D7">
        <v>375</v>
      </c>
      <c r="E7" s="3">
        <v>329651.25</v>
      </c>
      <c r="F7" s="4">
        <v>7.7908365079128739E-2</v>
      </c>
    </row>
    <row r="8" spans="1:6" ht="16" x14ac:dyDescent="0.2">
      <c r="A8" s="8" t="s">
        <v>26</v>
      </c>
      <c r="C8" s="8">
        <v>20</v>
      </c>
      <c r="D8" s="8">
        <v>2045</v>
      </c>
      <c r="E8" s="9">
        <v>1673506.55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2D40-AAD9-F54F-A8D2-35C326E65E37}">
  <dimension ref="A2:R43"/>
  <sheetViews>
    <sheetView tabSelected="1" workbookViewId="0">
      <selection activeCell="A31" sqref="A31:P43"/>
    </sheetView>
  </sheetViews>
  <sheetFormatPr baseColWidth="10" defaultRowHeight="15" x14ac:dyDescent="0.2"/>
  <cols>
    <col min="1" max="1" width="24.83203125" bestFit="1" customWidth="1"/>
    <col min="4" max="5" width="14" bestFit="1" customWidth="1"/>
  </cols>
  <sheetData>
    <row r="2" spans="1:18" x14ac:dyDescent="0.2">
      <c r="A2" s="21" t="s">
        <v>86</v>
      </c>
      <c r="B2" s="21" t="s">
        <v>87</v>
      </c>
      <c r="C2" s="21" t="s">
        <v>88</v>
      </c>
      <c r="D2" s="21" t="s">
        <v>89</v>
      </c>
      <c r="E2" s="21" t="s">
        <v>90</v>
      </c>
      <c r="F2" s="21" t="s">
        <v>73</v>
      </c>
      <c r="G2" s="21" t="s">
        <v>74</v>
      </c>
      <c r="H2" s="21" t="s">
        <v>75</v>
      </c>
      <c r="I2" s="21" t="s">
        <v>76</v>
      </c>
      <c r="J2" s="21" t="s">
        <v>77</v>
      </c>
      <c r="K2" s="21" t="s">
        <v>78</v>
      </c>
      <c r="L2" s="21" t="s">
        <v>79</v>
      </c>
      <c r="M2" s="21" t="s">
        <v>80</v>
      </c>
      <c r="N2" s="21" t="s">
        <v>81</v>
      </c>
      <c r="O2" s="21" t="s">
        <v>82</v>
      </c>
      <c r="P2" s="21" t="s">
        <v>83</v>
      </c>
      <c r="Q2" s="21" t="s">
        <v>84</v>
      </c>
      <c r="R2" s="21" t="s">
        <v>85</v>
      </c>
    </row>
    <row r="3" spans="1:18" x14ac:dyDescent="0.2">
      <c r="A3" s="21"/>
      <c r="B3" s="21"/>
      <c r="C3" s="21"/>
      <c r="D3" s="21"/>
      <c r="E3" s="21"/>
      <c r="F3" s="21" t="s">
        <v>91</v>
      </c>
      <c r="G3" s="21" t="s">
        <v>91</v>
      </c>
      <c r="H3" s="21" t="s">
        <v>95</v>
      </c>
      <c r="I3" s="24" t="s">
        <v>98</v>
      </c>
      <c r="J3" s="24"/>
      <c r="K3" s="24"/>
      <c r="L3" s="24" t="s">
        <v>99</v>
      </c>
      <c r="M3" s="24"/>
      <c r="N3" s="24"/>
      <c r="O3" s="21" t="s">
        <v>96</v>
      </c>
      <c r="P3" s="21" t="s">
        <v>96</v>
      </c>
      <c r="Q3" s="21" t="s">
        <v>97</v>
      </c>
      <c r="R3" s="21" t="s">
        <v>97</v>
      </c>
    </row>
    <row r="4" spans="1:18" x14ac:dyDescent="0.2">
      <c r="A4" t="s">
        <v>19</v>
      </c>
      <c r="B4">
        <f>SUM(F4:R4)</f>
        <v>360</v>
      </c>
      <c r="C4" s="16">
        <v>668.78</v>
      </c>
      <c r="D4" s="15">
        <f>B4*C4</f>
        <v>240760.8</v>
      </c>
      <c r="E4" s="15">
        <f>D4/0.9345</f>
        <v>257635.95505617975</v>
      </c>
      <c r="H4">
        <v>40</v>
      </c>
      <c r="I4">
        <v>40</v>
      </c>
      <c r="J4">
        <v>40</v>
      </c>
      <c r="K4">
        <v>40</v>
      </c>
      <c r="L4" s="26">
        <v>40</v>
      </c>
      <c r="M4" s="26">
        <v>40</v>
      </c>
      <c r="N4" s="26">
        <v>40</v>
      </c>
      <c r="O4">
        <v>20</v>
      </c>
      <c r="P4">
        <v>20</v>
      </c>
      <c r="Q4">
        <v>20</v>
      </c>
      <c r="R4">
        <v>20</v>
      </c>
    </row>
    <row r="5" spans="1:18" x14ac:dyDescent="0.2">
      <c r="A5" t="s">
        <v>93</v>
      </c>
      <c r="B5">
        <f>SUM(F5:R5)</f>
        <v>440</v>
      </c>
      <c r="C5" s="16">
        <v>573.98</v>
      </c>
      <c r="D5" s="15">
        <f>B5*C5</f>
        <v>252551.2</v>
      </c>
      <c r="E5" s="15">
        <f>D5/0.9345</f>
        <v>270252.75548421615</v>
      </c>
      <c r="F5">
        <v>40</v>
      </c>
      <c r="G5">
        <v>40</v>
      </c>
      <c r="H5">
        <v>40</v>
      </c>
      <c r="I5">
        <v>40</v>
      </c>
      <c r="J5">
        <v>40</v>
      </c>
      <c r="K5">
        <v>40</v>
      </c>
      <c r="L5" s="26">
        <v>40</v>
      </c>
      <c r="M5" s="26">
        <v>40</v>
      </c>
      <c r="N5" s="26">
        <v>40</v>
      </c>
      <c r="O5">
        <v>20</v>
      </c>
      <c r="P5">
        <v>20</v>
      </c>
      <c r="Q5">
        <v>20</v>
      </c>
      <c r="R5">
        <v>20</v>
      </c>
    </row>
    <row r="6" spans="1:18" x14ac:dyDescent="0.2">
      <c r="A6" t="s">
        <v>25</v>
      </c>
      <c r="B6">
        <f>SUM(F6:R6)</f>
        <v>120</v>
      </c>
      <c r="C6" s="16">
        <v>789.88</v>
      </c>
      <c r="D6" s="15">
        <f>B6*C6</f>
        <v>94785.600000000006</v>
      </c>
      <c r="E6" s="15">
        <f>D6/0.9345</f>
        <v>101429.21348314607</v>
      </c>
      <c r="F6">
        <v>20</v>
      </c>
      <c r="G6">
        <v>20</v>
      </c>
      <c r="H6">
        <v>20</v>
      </c>
      <c r="I6">
        <v>20</v>
      </c>
      <c r="J6">
        <v>20</v>
      </c>
      <c r="K6">
        <v>20</v>
      </c>
      <c r="L6" s="26"/>
      <c r="M6" s="26"/>
      <c r="N6" s="26"/>
    </row>
    <row r="7" spans="1:18" x14ac:dyDescent="0.2">
      <c r="A7" t="s">
        <v>92</v>
      </c>
      <c r="B7">
        <f>SUM(F7:R7)</f>
        <v>240</v>
      </c>
      <c r="C7" s="16">
        <v>789.88</v>
      </c>
      <c r="D7" s="15">
        <f>B7*C7</f>
        <v>189571.20000000001</v>
      </c>
      <c r="E7" s="15">
        <f>D7/0.9345</f>
        <v>202858.42696629214</v>
      </c>
      <c r="F7">
        <v>40</v>
      </c>
      <c r="G7">
        <v>40</v>
      </c>
      <c r="H7">
        <v>40</v>
      </c>
      <c r="I7">
        <v>20</v>
      </c>
      <c r="J7">
        <v>20</v>
      </c>
      <c r="K7">
        <v>20</v>
      </c>
      <c r="L7" s="26">
        <v>20</v>
      </c>
      <c r="M7" s="26">
        <v>20</v>
      </c>
      <c r="N7" s="26">
        <v>20</v>
      </c>
    </row>
    <row r="8" spans="1:18" x14ac:dyDescent="0.2">
      <c r="A8" t="s">
        <v>12</v>
      </c>
      <c r="B8">
        <f>SUM(F8:R8)</f>
        <v>240</v>
      </c>
      <c r="C8" s="16">
        <v>821.49</v>
      </c>
      <c r="D8" s="15">
        <f>B8*C8</f>
        <v>197157.6</v>
      </c>
      <c r="E8" s="15">
        <f>D8/0.9345</f>
        <v>210976.56500802567</v>
      </c>
      <c r="F8">
        <v>40</v>
      </c>
      <c r="G8">
        <v>40</v>
      </c>
      <c r="H8">
        <v>40</v>
      </c>
      <c r="I8">
        <v>20</v>
      </c>
      <c r="J8">
        <v>20</v>
      </c>
      <c r="K8">
        <v>20</v>
      </c>
      <c r="L8" s="26">
        <v>20</v>
      </c>
      <c r="M8" s="26">
        <v>20</v>
      </c>
      <c r="N8" s="26">
        <v>20</v>
      </c>
    </row>
    <row r="9" spans="1:18" x14ac:dyDescent="0.2">
      <c r="A9" t="s">
        <v>16</v>
      </c>
      <c r="B9">
        <f>SUM(F9:R9)</f>
        <v>260</v>
      </c>
      <c r="C9" s="16">
        <v>789.88</v>
      </c>
      <c r="D9" s="15">
        <f>B9*C9</f>
        <v>205368.8</v>
      </c>
      <c r="E9" s="15">
        <f>D9/0.9345</f>
        <v>219763.29588014979</v>
      </c>
      <c r="F9">
        <v>20</v>
      </c>
      <c r="G9">
        <v>20</v>
      </c>
      <c r="H9">
        <v>20</v>
      </c>
      <c r="I9">
        <v>20</v>
      </c>
      <c r="J9">
        <v>20</v>
      </c>
      <c r="K9">
        <v>20</v>
      </c>
      <c r="L9" s="26">
        <v>20</v>
      </c>
      <c r="M9" s="26">
        <v>20</v>
      </c>
      <c r="N9" s="26">
        <v>20</v>
      </c>
      <c r="O9">
        <v>20</v>
      </c>
      <c r="P9">
        <v>20</v>
      </c>
      <c r="Q9">
        <v>20</v>
      </c>
      <c r="R9">
        <v>20</v>
      </c>
    </row>
    <row r="10" spans="1:18" x14ac:dyDescent="0.2">
      <c r="A10" s="17" t="s">
        <v>94</v>
      </c>
      <c r="B10">
        <f>SUM(F10:R10)</f>
        <v>240</v>
      </c>
      <c r="C10" s="16">
        <v>573.98</v>
      </c>
      <c r="D10" s="15">
        <f>B10*C10</f>
        <v>137755.20000000001</v>
      </c>
      <c r="E10" s="15">
        <f>D10/0.9345</f>
        <v>147410.59390048156</v>
      </c>
      <c r="I10">
        <v>40</v>
      </c>
      <c r="J10">
        <v>40</v>
      </c>
      <c r="K10">
        <v>40</v>
      </c>
      <c r="L10" s="26">
        <v>40</v>
      </c>
      <c r="M10" s="26">
        <v>40</v>
      </c>
      <c r="N10" s="26">
        <v>40</v>
      </c>
    </row>
    <row r="11" spans="1:18" x14ac:dyDescent="0.2">
      <c r="B11" s="19">
        <f>SUM(B4:B10)</f>
        <v>1900</v>
      </c>
      <c r="D11" s="18">
        <f>SUM(D4:D10)</f>
        <v>1317950.3999999999</v>
      </c>
      <c r="E11" s="18">
        <f>SUM(E4:E10)</f>
        <v>1410326.8057784911</v>
      </c>
    </row>
    <row r="14" spans="1:18" x14ac:dyDescent="0.2">
      <c r="B14" s="20">
        <f>B9/B11</f>
        <v>0.1368421052631579</v>
      </c>
    </row>
    <row r="16" spans="1:18" x14ac:dyDescent="0.2">
      <c r="A16" s="22" t="s">
        <v>86</v>
      </c>
      <c r="B16" s="22" t="s">
        <v>87</v>
      </c>
      <c r="C16" s="22" t="s">
        <v>88</v>
      </c>
      <c r="D16" s="22" t="s">
        <v>89</v>
      </c>
      <c r="E16" s="22" t="s">
        <v>90</v>
      </c>
      <c r="F16" s="22" t="s">
        <v>73</v>
      </c>
      <c r="G16" s="22" t="s">
        <v>74</v>
      </c>
      <c r="H16" s="22" t="s">
        <v>75</v>
      </c>
      <c r="I16" s="22" t="s">
        <v>76</v>
      </c>
      <c r="J16" s="22" t="s">
        <v>77</v>
      </c>
      <c r="K16" s="22" t="s">
        <v>78</v>
      </c>
      <c r="L16" s="22" t="s">
        <v>82</v>
      </c>
      <c r="M16" s="22" t="s">
        <v>83</v>
      </c>
      <c r="N16" s="22" t="s">
        <v>84</v>
      </c>
      <c r="O16" s="22" t="s">
        <v>85</v>
      </c>
    </row>
    <row r="17" spans="1:16" x14ac:dyDescent="0.2">
      <c r="A17" s="22"/>
      <c r="B17" s="22"/>
      <c r="C17" s="22"/>
      <c r="D17" s="22"/>
      <c r="E17" s="22"/>
      <c r="F17" s="22" t="s">
        <v>91</v>
      </c>
      <c r="G17" s="22" t="s">
        <v>91</v>
      </c>
      <c r="H17" s="22" t="s">
        <v>95</v>
      </c>
      <c r="I17" s="25" t="s">
        <v>98</v>
      </c>
      <c r="J17" s="25"/>
      <c r="K17" s="25"/>
      <c r="L17" s="22" t="s">
        <v>96</v>
      </c>
      <c r="M17" s="22" t="s">
        <v>96</v>
      </c>
      <c r="N17" s="22" t="s">
        <v>97</v>
      </c>
      <c r="O17" s="22" t="s">
        <v>97</v>
      </c>
    </row>
    <row r="18" spans="1:16" x14ac:dyDescent="0.2">
      <c r="A18" s="23" t="s">
        <v>19</v>
      </c>
      <c r="B18" s="23">
        <f>SUM(F18:O18)</f>
        <v>240</v>
      </c>
      <c r="C18" s="27">
        <v>668.78</v>
      </c>
      <c r="D18" s="28">
        <f>B18*C18</f>
        <v>160507.19999999998</v>
      </c>
      <c r="E18" s="28">
        <f>D18/0.9345</f>
        <v>171757.30337078651</v>
      </c>
      <c r="F18" s="23"/>
      <c r="G18" s="23"/>
      <c r="H18" s="23">
        <v>40</v>
      </c>
      <c r="I18" s="23">
        <v>40</v>
      </c>
      <c r="J18" s="23">
        <v>40</v>
      </c>
      <c r="K18" s="23">
        <v>40</v>
      </c>
      <c r="L18" s="23">
        <v>20</v>
      </c>
      <c r="M18" s="23">
        <v>20</v>
      </c>
      <c r="N18" s="23">
        <v>20</v>
      </c>
      <c r="O18" s="23">
        <v>20</v>
      </c>
    </row>
    <row r="19" spans="1:16" x14ac:dyDescent="0.2">
      <c r="A19" s="23" t="s">
        <v>93</v>
      </c>
      <c r="B19" s="23">
        <f>SUM(F19:O19)</f>
        <v>320</v>
      </c>
      <c r="C19" s="27">
        <v>573.98</v>
      </c>
      <c r="D19" s="28">
        <f>B19*C19</f>
        <v>183673.60000000001</v>
      </c>
      <c r="E19" s="28">
        <f>D19/0.9345</f>
        <v>196547.45853397538</v>
      </c>
      <c r="F19" s="23">
        <v>40</v>
      </c>
      <c r="G19" s="23">
        <v>40</v>
      </c>
      <c r="H19" s="23">
        <v>40</v>
      </c>
      <c r="I19" s="23">
        <v>40</v>
      </c>
      <c r="J19" s="23">
        <v>40</v>
      </c>
      <c r="K19" s="23">
        <v>40</v>
      </c>
      <c r="L19" s="23">
        <v>20</v>
      </c>
      <c r="M19" s="23">
        <v>20</v>
      </c>
      <c r="N19" s="23">
        <v>20</v>
      </c>
      <c r="O19" s="23">
        <v>20</v>
      </c>
    </row>
    <row r="20" spans="1:16" x14ac:dyDescent="0.2">
      <c r="A20" s="23" t="s">
        <v>25</v>
      </c>
      <c r="B20" s="23">
        <f>SUM(F20:O20)</f>
        <v>120</v>
      </c>
      <c r="C20" s="27">
        <v>789.88</v>
      </c>
      <c r="D20" s="28">
        <f>B20*C20</f>
        <v>94785.600000000006</v>
      </c>
      <c r="E20" s="28">
        <f>D20/0.9345</f>
        <v>101429.21348314607</v>
      </c>
      <c r="F20" s="23">
        <v>20</v>
      </c>
      <c r="G20" s="23">
        <v>20</v>
      </c>
      <c r="H20" s="23">
        <v>20</v>
      </c>
      <c r="I20" s="23">
        <v>20</v>
      </c>
      <c r="J20" s="23">
        <v>20</v>
      </c>
      <c r="K20" s="23">
        <v>20</v>
      </c>
      <c r="L20" s="23"/>
      <c r="M20" s="23"/>
      <c r="N20" s="23"/>
      <c r="O20" s="23"/>
    </row>
    <row r="21" spans="1:16" x14ac:dyDescent="0.2">
      <c r="A21" s="23" t="s">
        <v>92</v>
      </c>
      <c r="B21" s="23">
        <f>SUM(F21:O21)</f>
        <v>180</v>
      </c>
      <c r="C21" s="27">
        <v>789.88</v>
      </c>
      <c r="D21" s="28">
        <f>B21*C21</f>
        <v>142178.4</v>
      </c>
      <c r="E21" s="28">
        <f>D21/0.9345</f>
        <v>152143.82022471909</v>
      </c>
      <c r="F21" s="23">
        <v>40</v>
      </c>
      <c r="G21" s="23">
        <v>40</v>
      </c>
      <c r="H21" s="23">
        <v>40</v>
      </c>
      <c r="I21" s="23">
        <v>20</v>
      </c>
      <c r="J21" s="23">
        <v>20</v>
      </c>
      <c r="K21" s="23">
        <v>20</v>
      </c>
      <c r="L21" s="23"/>
      <c r="M21" s="23"/>
      <c r="N21" s="23"/>
      <c r="O21" s="23"/>
    </row>
    <row r="22" spans="1:16" x14ac:dyDescent="0.2">
      <c r="A22" s="23" t="s">
        <v>12</v>
      </c>
      <c r="B22" s="23">
        <f>SUM(F22:O22)</f>
        <v>180</v>
      </c>
      <c r="C22" s="27">
        <v>821.49</v>
      </c>
      <c r="D22" s="28">
        <f>B22*C22</f>
        <v>147868.20000000001</v>
      </c>
      <c r="E22" s="28">
        <f>D22/0.9345</f>
        <v>158232.42375601927</v>
      </c>
      <c r="F22" s="23">
        <v>40</v>
      </c>
      <c r="G22" s="23">
        <v>40</v>
      </c>
      <c r="H22" s="23">
        <v>40</v>
      </c>
      <c r="I22" s="23">
        <v>20</v>
      </c>
      <c r="J22" s="23">
        <v>20</v>
      </c>
      <c r="K22" s="23">
        <v>20</v>
      </c>
      <c r="L22" s="23"/>
      <c r="M22" s="23"/>
      <c r="N22" s="23"/>
      <c r="O22" s="23"/>
    </row>
    <row r="23" spans="1:16" x14ac:dyDescent="0.2">
      <c r="A23" s="23" t="s">
        <v>16</v>
      </c>
      <c r="B23" s="23">
        <f>SUM(F23:O23)</f>
        <v>200</v>
      </c>
      <c r="C23" s="27">
        <v>789.88</v>
      </c>
      <c r="D23" s="28">
        <f>B23*C23</f>
        <v>157976</v>
      </c>
      <c r="E23" s="28">
        <f>D23/0.9345</f>
        <v>169048.68913857677</v>
      </c>
      <c r="F23" s="23">
        <v>20</v>
      </c>
      <c r="G23" s="23">
        <v>20</v>
      </c>
      <c r="H23" s="23">
        <v>20</v>
      </c>
      <c r="I23" s="23">
        <v>20</v>
      </c>
      <c r="J23" s="23">
        <v>20</v>
      </c>
      <c r="K23" s="23">
        <v>20</v>
      </c>
      <c r="L23" s="23">
        <v>20</v>
      </c>
      <c r="M23" s="23">
        <v>20</v>
      </c>
      <c r="N23" s="23">
        <v>20</v>
      </c>
      <c r="O23" s="23">
        <v>20</v>
      </c>
    </row>
    <row r="24" spans="1:16" x14ac:dyDescent="0.2">
      <c r="A24" s="29" t="s">
        <v>94</v>
      </c>
      <c r="B24" s="23">
        <f>SUM(F24:R24)</f>
        <v>120</v>
      </c>
      <c r="C24" s="27">
        <v>573.98</v>
      </c>
      <c r="D24" s="28">
        <f>B24*C24</f>
        <v>68877.600000000006</v>
      </c>
      <c r="E24" s="28">
        <f>D24/0.9345</f>
        <v>73705.29695024078</v>
      </c>
      <c r="F24" s="23"/>
      <c r="G24" s="23"/>
      <c r="H24" s="23"/>
      <c r="I24" s="23">
        <v>40</v>
      </c>
      <c r="J24" s="23">
        <v>40</v>
      </c>
      <c r="K24" s="23">
        <v>40</v>
      </c>
      <c r="L24" s="23"/>
      <c r="M24" s="23"/>
      <c r="N24" s="23"/>
      <c r="O24" s="23"/>
    </row>
    <row r="25" spans="1:16" x14ac:dyDescent="0.2">
      <c r="A25" s="23"/>
      <c r="B25" s="30">
        <f>SUM(B18:B24)</f>
        <v>1360</v>
      </c>
      <c r="C25" s="23"/>
      <c r="D25" s="31">
        <f>SUM(D18:D24)</f>
        <v>955866.6</v>
      </c>
      <c r="E25" s="31">
        <f>SUM(E18:E24)</f>
        <v>1022864.2054574639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6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6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6" x14ac:dyDescent="0.2">
      <c r="A28" s="23"/>
      <c r="B28" s="32">
        <f>B23/B25</f>
        <v>0.14705882352941177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31" spans="1:16" x14ac:dyDescent="0.2">
      <c r="A31" s="21" t="s">
        <v>86</v>
      </c>
      <c r="B31" s="21" t="s">
        <v>87</v>
      </c>
      <c r="C31" s="21" t="s">
        <v>88</v>
      </c>
      <c r="D31" s="21" t="s">
        <v>89</v>
      </c>
      <c r="E31" s="21" t="s">
        <v>90</v>
      </c>
      <c r="F31" s="21" t="s">
        <v>73</v>
      </c>
      <c r="G31" s="21" t="s">
        <v>74</v>
      </c>
      <c r="H31" s="21" t="s">
        <v>75</v>
      </c>
      <c r="I31" s="21" t="s">
        <v>76</v>
      </c>
      <c r="J31" s="21" t="s">
        <v>77</v>
      </c>
      <c r="K31" s="21" t="s">
        <v>78</v>
      </c>
      <c r="L31" s="21" t="s">
        <v>79</v>
      </c>
      <c r="M31" s="21" t="s">
        <v>80</v>
      </c>
      <c r="N31" s="21" t="s">
        <v>81</v>
      </c>
      <c r="O31" s="21" t="s">
        <v>82</v>
      </c>
      <c r="P31" s="21" t="s">
        <v>85</v>
      </c>
    </row>
    <row r="32" spans="1:16" x14ac:dyDescent="0.2">
      <c r="A32" s="21"/>
      <c r="B32" s="21"/>
      <c r="C32" s="21"/>
      <c r="D32" s="21"/>
      <c r="E32" s="21"/>
      <c r="F32" s="21" t="s">
        <v>91</v>
      </c>
      <c r="G32" s="21" t="s">
        <v>91</v>
      </c>
      <c r="H32" s="21" t="s">
        <v>95</v>
      </c>
      <c r="I32" s="24" t="s">
        <v>98</v>
      </c>
      <c r="J32" s="24"/>
      <c r="K32" s="24" t="s">
        <v>99</v>
      </c>
      <c r="L32" s="24"/>
      <c r="M32" s="21" t="s">
        <v>96</v>
      </c>
      <c r="N32" s="21" t="s">
        <v>96</v>
      </c>
      <c r="O32" s="21" t="s">
        <v>97</v>
      </c>
      <c r="P32" s="21" t="s">
        <v>97</v>
      </c>
    </row>
    <row r="33" spans="1:16" x14ac:dyDescent="0.2">
      <c r="A33" t="s">
        <v>19</v>
      </c>
      <c r="B33">
        <f>SUM(F33:P33)</f>
        <v>280</v>
      </c>
      <c r="C33" s="16">
        <v>668.78</v>
      </c>
      <c r="D33" s="15">
        <f>B33*C33</f>
        <v>187258.4</v>
      </c>
      <c r="E33" s="15">
        <f>D33/0.9345</f>
        <v>200383.52059925094</v>
      </c>
      <c r="H33">
        <v>40</v>
      </c>
      <c r="I33">
        <v>40</v>
      </c>
      <c r="J33">
        <v>40</v>
      </c>
      <c r="K33">
        <v>40</v>
      </c>
      <c r="L33">
        <v>40</v>
      </c>
      <c r="M33">
        <v>20</v>
      </c>
      <c r="N33">
        <v>20</v>
      </c>
      <c r="O33">
        <v>20</v>
      </c>
      <c r="P33">
        <v>20</v>
      </c>
    </row>
    <row r="34" spans="1:16" x14ac:dyDescent="0.2">
      <c r="A34" t="s">
        <v>93</v>
      </c>
      <c r="B34">
        <f>SUM(F34:P34)</f>
        <v>360</v>
      </c>
      <c r="C34" s="16">
        <v>573.98</v>
      </c>
      <c r="D34" s="15">
        <f>B34*C34</f>
        <v>206632.80000000002</v>
      </c>
      <c r="E34" s="15">
        <f>D34/0.9345</f>
        <v>221115.89085072232</v>
      </c>
      <c r="F34">
        <v>40</v>
      </c>
      <c r="G34">
        <v>40</v>
      </c>
      <c r="H34">
        <v>40</v>
      </c>
      <c r="I34">
        <v>40</v>
      </c>
      <c r="J34">
        <v>40</v>
      </c>
      <c r="K34">
        <v>40</v>
      </c>
      <c r="L34">
        <v>40</v>
      </c>
      <c r="M34">
        <v>20</v>
      </c>
      <c r="N34">
        <v>20</v>
      </c>
      <c r="O34">
        <v>20</v>
      </c>
      <c r="P34">
        <v>20</v>
      </c>
    </row>
    <row r="35" spans="1:16" x14ac:dyDescent="0.2">
      <c r="A35" t="s">
        <v>25</v>
      </c>
      <c r="B35">
        <f>SUM(F35:P35)</f>
        <v>140</v>
      </c>
      <c r="C35" s="16">
        <v>789.88</v>
      </c>
      <c r="D35" s="15">
        <f>B35*C35</f>
        <v>110583.2</v>
      </c>
      <c r="E35" s="15">
        <f>D35/0.9345</f>
        <v>118334.08239700375</v>
      </c>
      <c r="F35">
        <v>20</v>
      </c>
      <c r="G35">
        <v>20</v>
      </c>
      <c r="H35">
        <v>20</v>
      </c>
      <c r="I35">
        <v>20</v>
      </c>
      <c r="J35">
        <v>20</v>
      </c>
      <c r="K35">
        <v>20</v>
      </c>
      <c r="L35">
        <v>20</v>
      </c>
    </row>
    <row r="36" spans="1:16" x14ac:dyDescent="0.2">
      <c r="A36" t="s">
        <v>92</v>
      </c>
      <c r="B36">
        <f>SUM(F36:P36)</f>
        <v>200</v>
      </c>
      <c r="C36" s="16">
        <v>789.88</v>
      </c>
      <c r="D36" s="15">
        <f>B36*C36</f>
        <v>157976</v>
      </c>
      <c r="E36" s="15">
        <f>D36/0.9345</f>
        <v>169048.68913857677</v>
      </c>
      <c r="F36">
        <v>40</v>
      </c>
      <c r="G36">
        <v>40</v>
      </c>
      <c r="H36">
        <v>40</v>
      </c>
      <c r="I36">
        <v>20</v>
      </c>
      <c r="J36">
        <v>20</v>
      </c>
      <c r="K36">
        <v>20</v>
      </c>
      <c r="L36">
        <v>20</v>
      </c>
    </row>
    <row r="37" spans="1:16" x14ac:dyDescent="0.2">
      <c r="A37" t="s">
        <v>12</v>
      </c>
      <c r="B37">
        <f>SUM(F37:P37)</f>
        <v>200</v>
      </c>
      <c r="C37" s="16">
        <v>821.49</v>
      </c>
      <c r="D37" s="15">
        <f>B37*C37</f>
        <v>164298</v>
      </c>
      <c r="E37" s="15">
        <f>D37/0.9345</f>
        <v>175813.80417335473</v>
      </c>
      <c r="F37">
        <v>40</v>
      </c>
      <c r="G37">
        <v>40</v>
      </c>
      <c r="H37">
        <v>40</v>
      </c>
      <c r="I37">
        <v>20</v>
      </c>
      <c r="J37">
        <v>20</v>
      </c>
      <c r="K37">
        <v>20</v>
      </c>
      <c r="L37">
        <v>20</v>
      </c>
    </row>
    <row r="38" spans="1:16" x14ac:dyDescent="0.2">
      <c r="A38" t="s">
        <v>16</v>
      </c>
      <c r="B38">
        <f>SUM(F38:P38)</f>
        <v>220</v>
      </c>
      <c r="C38" s="16">
        <v>789.88</v>
      </c>
      <c r="D38" s="15">
        <f>B38*C38</f>
        <v>173773.6</v>
      </c>
      <c r="E38" s="15">
        <f>D38/0.9345</f>
        <v>185953.55805243447</v>
      </c>
      <c r="F38">
        <v>20</v>
      </c>
      <c r="G38">
        <v>20</v>
      </c>
      <c r="H38">
        <v>20</v>
      </c>
      <c r="I38">
        <v>20</v>
      </c>
      <c r="J38">
        <v>20</v>
      </c>
      <c r="K38">
        <v>20</v>
      </c>
      <c r="L38">
        <v>20</v>
      </c>
      <c r="M38">
        <v>20</v>
      </c>
      <c r="N38">
        <v>20</v>
      </c>
      <c r="O38">
        <v>20</v>
      </c>
      <c r="P38">
        <v>20</v>
      </c>
    </row>
    <row r="39" spans="1:16" x14ac:dyDescent="0.2">
      <c r="A39" s="17" t="s">
        <v>94</v>
      </c>
      <c r="B39">
        <f>SUM(F39:R39)</f>
        <v>160</v>
      </c>
      <c r="C39" s="16">
        <v>573.98</v>
      </c>
      <c r="D39" s="15">
        <f>B39*C39</f>
        <v>91836.800000000003</v>
      </c>
      <c r="E39" s="15">
        <f>D39/0.9345</f>
        <v>98273.729266987692</v>
      </c>
      <c r="I39">
        <v>40</v>
      </c>
      <c r="J39">
        <v>40</v>
      </c>
      <c r="K39">
        <v>40</v>
      </c>
      <c r="L39">
        <v>40</v>
      </c>
      <c r="M39" s="23"/>
      <c r="N39" s="23"/>
    </row>
    <row r="40" spans="1:16" x14ac:dyDescent="0.2">
      <c r="B40" s="19">
        <f>SUM(B33:B39)</f>
        <v>1560</v>
      </c>
      <c r="D40" s="18">
        <f>SUM(D33:D39)</f>
        <v>1092358.8</v>
      </c>
      <c r="E40" s="18">
        <f>SUM(E33:E39)</f>
        <v>1168923.2744783307</v>
      </c>
    </row>
    <row r="43" spans="1:16" x14ac:dyDescent="0.2">
      <c r="B43" s="20">
        <f>B38/B40</f>
        <v>0.14102564102564102</v>
      </c>
    </row>
  </sheetData>
  <mergeCells count="5">
    <mergeCell ref="I17:K17"/>
    <mergeCell ref="I3:K3"/>
    <mergeCell ref="L3:N3"/>
    <mergeCell ref="I32:J32"/>
    <mergeCell ref="K32:L3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B4" sqref="B4:C9"/>
    </sheetView>
  </sheetViews>
  <sheetFormatPr baseColWidth="10" defaultColWidth="8.83203125" defaultRowHeight="15" x14ac:dyDescent="0.2"/>
  <cols>
    <col min="1" max="1" width="8" customWidth="1"/>
    <col min="2" max="2" width="35" customWidth="1"/>
    <col min="3" max="3" width="15" customWidth="1"/>
    <col min="4" max="4" width="25" customWidth="1"/>
    <col min="5" max="5" width="15" customWidth="1"/>
    <col min="6" max="6" width="18" customWidth="1"/>
    <col min="7" max="7" width="12" customWidth="1"/>
  </cols>
  <sheetData>
    <row r="1" spans="1:7" ht="19" x14ac:dyDescent="0.25">
      <c r="A1" s="13" t="s">
        <v>41</v>
      </c>
      <c r="B1" s="14"/>
      <c r="C1" s="14"/>
      <c r="D1" s="14"/>
      <c r="E1" s="14"/>
      <c r="F1" s="14"/>
      <c r="G1" s="14"/>
    </row>
    <row r="3" spans="1:7" x14ac:dyDescent="0.2">
      <c r="A3" s="10" t="s">
        <v>42</v>
      </c>
      <c r="B3" s="10" t="s">
        <v>3</v>
      </c>
      <c r="C3" s="10" t="s">
        <v>6</v>
      </c>
      <c r="D3" s="10" t="s">
        <v>43</v>
      </c>
      <c r="E3" s="10" t="s">
        <v>30</v>
      </c>
      <c r="F3" s="10" t="s">
        <v>44</v>
      </c>
      <c r="G3" s="10" t="s">
        <v>32</v>
      </c>
    </row>
    <row r="4" spans="1:7" x14ac:dyDescent="0.2">
      <c r="A4" t="s">
        <v>11</v>
      </c>
      <c r="B4" t="s">
        <v>12</v>
      </c>
      <c r="C4" s="3">
        <v>879.07</v>
      </c>
      <c r="D4" t="s">
        <v>45</v>
      </c>
      <c r="E4">
        <v>560</v>
      </c>
      <c r="F4" s="3">
        <v>492279.2</v>
      </c>
      <c r="G4" s="4">
        <v>0.1163431585181656</v>
      </c>
    </row>
    <row r="5" spans="1:7" x14ac:dyDescent="0.2">
      <c r="A5" t="s">
        <v>18</v>
      </c>
      <c r="B5" t="s">
        <v>19</v>
      </c>
      <c r="C5" s="3">
        <v>715.66</v>
      </c>
      <c r="D5" t="s">
        <v>46</v>
      </c>
      <c r="E5">
        <v>480</v>
      </c>
      <c r="F5" s="3">
        <v>343516.8</v>
      </c>
      <c r="G5" s="4">
        <v>8.1185289803129987E-2</v>
      </c>
    </row>
    <row r="6" spans="1:7" x14ac:dyDescent="0.2">
      <c r="A6" t="s">
        <v>20</v>
      </c>
      <c r="B6" t="s">
        <v>21</v>
      </c>
      <c r="C6" s="3">
        <v>715.66</v>
      </c>
      <c r="D6" t="s">
        <v>46</v>
      </c>
      <c r="E6">
        <v>280</v>
      </c>
      <c r="F6" s="3">
        <v>200384.8</v>
      </c>
      <c r="G6" s="4">
        <v>4.7358085718492489E-2</v>
      </c>
    </row>
    <row r="7" spans="1:7" x14ac:dyDescent="0.2">
      <c r="A7" t="s">
        <v>24</v>
      </c>
      <c r="B7" t="s">
        <v>25</v>
      </c>
      <c r="C7" s="3">
        <v>879.07</v>
      </c>
      <c r="D7" t="s">
        <v>39</v>
      </c>
      <c r="E7">
        <v>200</v>
      </c>
      <c r="F7" s="3">
        <v>175814</v>
      </c>
      <c r="G7" s="4">
        <v>4.1551128042201999E-2</v>
      </c>
    </row>
    <row r="8" spans="1:7" x14ac:dyDescent="0.2">
      <c r="A8" t="s">
        <v>13</v>
      </c>
      <c r="B8" t="s">
        <v>14</v>
      </c>
      <c r="C8" s="3">
        <v>879.07</v>
      </c>
      <c r="D8" t="s">
        <v>33</v>
      </c>
      <c r="E8">
        <v>120</v>
      </c>
      <c r="F8" s="3">
        <v>105488.4</v>
      </c>
      <c r="G8" s="4">
        <v>2.4930676825321199E-2</v>
      </c>
    </row>
    <row r="9" spans="1:7" x14ac:dyDescent="0.2">
      <c r="A9" t="s">
        <v>15</v>
      </c>
      <c r="B9" t="s">
        <v>16</v>
      </c>
      <c r="C9" s="3">
        <v>879.07</v>
      </c>
      <c r="D9" t="s">
        <v>45</v>
      </c>
      <c r="E9">
        <v>405</v>
      </c>
      <c r="F9" s="3">
        <v>356023.35</v>
      </c>
      <c r="G9" s="4">
        <v>8.4141034285459049E-2</v>
      </c>
    </row>
    <row r="10" spans="1:7" ht="16" x14ac:dyDescent="0.2">
      <c r="A10" s="8" t="s">
        <v>26</v>
      </c>
      <c r="E10" s="8">
        <v>2045</v>
      </c>
      <c r="F10" s="9">
        <v>1673506.55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5" customWidth="1"/>
    <col min="2" max="2" width="60" customWidth="1"/>
  </cols>
  <sheetData>
    <row r="1" spans="1:2" ht="19" x14ac:dyDescent="0.25">
      <c r="A1" s="13" t="s">
        <v>47</v>
      </c>
      <c r="B1" s="14"/>
    </row>
    <row r="3" spans="1:2" ht="16" x14ac:dyDescent="0.2">
      <c r="A3" s="11" t="s">
        <v>48</v>
      </c>
      <c r="B3" s="8" t="s">
        <v>49</v>
      </c>
    </row>
    <row r="4" spans="1:2" x14ac:dyDescent="0.2">
      <c r="A4" t="s">
        <v>50</v>
      </c>
      <c r="B4" t="s">
        <v>51</v>
      </c>
    </row>
    <row r="6" spans="1:2" x14ac:dyDescent="0.2">
      <c r="A6" s="12" t="s">
        <v>52</v>
      </c>
      <c r="B6" t="s">
        <v>53</v>
      </c>
    </row>
    <row r="7" spans="1:2" x14ac:dyDescent="0.2">
      <c r="A7" s="12" t="s">
        <v>30</v>
      </c>
      <c r="B7" t="s">
        <v>54</v>
      </c>
    </row>
    <row r="9" spans="1:2" x14ac:dyDescent="0.2">
      <c r="A9" t="s">
        <v>55</v>
      </c>
      <c r="B9" t="s">
        <v>56</v>
      </c>
    </row>
    <row r="10" spans="1:2" x14ac:dyDescent="0.2">
      <c r="A10" t="s">
        <v>57</v>
      </c>
      <c r="B10" t="s">
        <v>58</v>
      </c>
    </row>
    <row r="12" spans="1:2" ht="16" x14ac:dyDescent="0.2">
      <c r="A12" s="11" t="s">
        <v>59</v>
      </c>
      <c r="B12" s="8" t="s">
        <v>60</v>
      </c>
    </row>
    <row r="14" spans="1:2" x14ac:dyDescent="0.2">
      <c r="A14" t="s">
        <v>61</v>
      </c>
      <c r="B14" t="s">
        <v>62</v>
      </c>
    </row>
    <row r="15" spans="1:2" x14ac:dyDescent="0.2">
      <c r="A15" t="s">
        <v>63</v>
      </c>
      <c r="B15" t="s">
        <v>64</v>
      </c>
    </row>
    <row r="16" spans="1:2" x14ac:dyDescent="0.2">
      <c r="A16" t="s">
        <v>65</v>
      </c>
      <c r="B16" t="s">
        <v>60</v>
      </c>
    </row>
    <row r="17" spans="1:2" x14ac:dyDescent="0.2">
      <c r="A17" t="s">
        <v>66</v>
      </c>
      <c r="B17" t="s">
        <v>67</v>
      </c>
    </row>
    <row r="19" spans="1:2" x14ac:dyDescent="0.2">
      <c r="A19" t="s">
        <v>68</v>
      </c>
    </row>
    <row r="20" spans="1:2" x14ac:dyDescent="0.2">
      <c r="B20" t="s">
        <v>69</v>
      </c>
    </row>
    <row r="21" spans="1:2" x14ac:dyDescent="0.2">
      <c r="B21" t="s">
        <v>70</v>
      </c>
    </row>
    <row r="22" spans="1:2" x14ac:dyDescent="0.2">
      <c r="B22" t="s">
        <v>71</v>
      </c>
    </row>
    <row r="23" spans="1:2" x14ac:dyDescent="0.2">
      <c r="B23" t="s">
        <v>72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Horas por Semana</vt:lpstr>
      <vt:lpstr>Resumo por Fase</vt:lpstr>
      <vt:lpstr>Planilha1</vt:lpstr>
      <vt:lpstr>Resumo por Recurso</vt:lpstr>
      <vt:lpstr>Investimento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Stebulaitis Filho</cp:lastModifiedBy>
  <dcterms:created xsi:type="dcterms:W3CDTF">2026-07-03T19:48:12Z</dcterms:created>
  <dcterms:modified xsi:type="dcterms:W3CDTF">2026-07-03T20:08:30Z</dcterms:modified>
</cp:coreProperties>
</file>